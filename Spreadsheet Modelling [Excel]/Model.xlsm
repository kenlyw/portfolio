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smu.sharepoint.com/teams/SpreadsheetProject829/Shared Documents/General/"/>
    </mc:Choice>
  </mc:AlternateContent>
  <xr:revisionPtr revIDLastSave="8249" documentId="8_{B7E68615-78DD-4EFD-96F7-FA040EC7ABB7}" xr6:coauthVersionLast="47" xr6:coauthVersionMax="47" xr10:uidLastSave="{3302FA23-6180-4281-9E70-5B8E477D907E}"/>
  <bookViews>
    <workbookView xWindow="22932" yWindow="-2124" windowWidth="23256" windowHeight="12720" tabRatio="804" firstSheet="5" activeTab="12" xr2:uid="{563DD893-14C1-416E-907C-28F046879512}"/>
  </bookViews>
  <sheets>
    <sheet name="README" sheetId="25" r:id="rId1"/>
    <sheet name="Main" sheetId="12" r:id="rId2"/>
    <sheet name="BLACKBOX" sheetId="29" r:id="rId3"/>
    <sheet name="Pop FCST" sheetId="13" r:id="rId4"/>
    <sheet name="DD Pot_Water" sheetId="21" r:id="rId5"/>
    <sheet name="DD Water_Total" sheetId="27" r:id="rId6"/>
    <sheet name="SS Water_CM" sheetId="28" r:id="rId7"/>
    <sheet name="SS NEWater" sheetId="7" r:id="rId8"/>
    <sheet name="SS Desalin_Water" sheetId="8" r:id="rId9"/>
    <sheet name="SS Imported_Water" sheetId="14" r:id="rId10"/>
    <sheet name="Sensitivity_Conserve" sheetId="30" r:id="rId11"/>
    <sheet name="Sensitvity_Rainfall" sheetId="17" r:id="rId12"/>
    <sheet name="Tradeoff_Price" sheetId="31" r:id="rId13"/>
    <sheet name="LIST-Conserv_Eff" sheetId="18" state="hidden" r:id="rId14"/>
    <sheet name="LIST-Px&amp;DD" sheetId="5" state="hidden" r:id="rId15"/>
    <sheet name="LIST-Reserve" sheetId="32" state="hidden" r:id="rId16"/>
    <sheet name="LIST-WA End" sheetId="33" state="hidden" r:id="rId17"/>
  </sheets>
  <definedNames>
    <definedName name="_xlnm._FilterDatabase" localSheetId="1" hidden="1">Main!$I$100:$I$146</definedName>
  </definedNames>
  <calcPr calcId="191028" calcMode="autoNoTable"/>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7" i="29" l="1"/>
  <c r="D17" i="31"/>
  <c r="F55" i="28"/>
  <c r="F56" i="28" s="1"/>
  <c r="F57" i="28" s="1"/>
  <c r="F58" i="28" s="1"/>
  <c r="F59" i="28" s="1"/>
  <c r="F60" i="28" s="1"/>
  <c r="F61" i="28" s="1"/>
  <c r="F62" i="28" s="1"/>
  <c r="F63" i="28" s="1"/>
  <c r="F64" i="28" s="1"/>
  <c r="F65" i="28" s="1"/>
  <c r="F66" i="28" s="1"/>
  <c r="F67" i="28" s="1"/>
  <c r="F68" i="28" s="1"/>
  <c r="F69" i="28" s="1"/>
  <c r="F70" i="28" s="1"/>
  <c r="F71" i="28" s="1"/>
  <c r="F72" i="28" s="1"/>
  <c r="F73" i="28" s="1"/>
  <c r="F74" i="28" s="1"/>
  <c r="F75" i="28" s="1"/>
  <c r="F76" i="28" s="1"/>
  <c r="F77" i="28" s="1"/>
  <c r="F78" i="28" s="1"/>
  <c r="F79" i="28" s="1"/>
  <c r="F80" i="28" s="1"/>
  <c r="F81" i="28" s="1"/>
  <c r="F82" i="28" s="1"/>
  <c r="F83" i="28" s="1"/>
  <c r="F84" i="28" s="1"/>
  <c r="F85" i="28" s="1"/>
  <c r="F86" i="28" s="1"/>
  <c r="F87" i="28" s="1"/>
  <c r="F88" i="28" s="1"/>
  <c r="F89" i="28" s="1"/>
  <c r="F90" i="28" s="1"/>
  <c r="F54" i="28"/>
  <c r="J30" i="30" a="1"/>
  <c r="J30" i="30" s="1"/>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29" i="17"/>
  <c r="K30" i="30"/>
  <c r="F30" i="17"/>
  <c r="G30" i="17"/>
  <c r="H30" i="17"/>
  <c r="F69" i="17"/>
  <c r="G69" i="17"/>
  <c r="H69" i="17"/>
  <c r="F70" i="17"/>
  <c r="G70" i="17"/>
  <c r="H70" i="17"/>
  <c r="F71" i="17"/>
  <c r="G71" i="17"/>
  <c r="H71" i="17"/>
  <c r="F72" i="17"/>
  <c r="G72" i="17"/>
  <c r="H72" i="17"/>
  <c r="F73" i="17"/>
  <c r="G73" i="17"/>
  <c r="H73" i="17"/>
  <c r="H29" i="17"/>
  <c r="G29" i="17"/>
  <c r="C53" i="28"/>
  <c r="H52" i="28"/>
  <c r="F29" i="17"/>
  <c r="D4" i="31"/>
  <c r="D4" i="30"/>
  <c r="D4" i="17"/>
  <c r="D14" i="31"/>
  <c r="C118" i="31" s="1"/>
  <c r="D13" i="31"/>
  <c r="C88" i="31" s="1"/>
  <c r="D19" i="30"/>
  <c r="D14" i="30"/>
  <c r="E119" i="30" s="1"/>
  <c r="D13" i="30"/>
  <c r="E89" i="30" s="1"/>
  <c r="C10" i="21"/>
  <c r="C5" i="21"/>
  <c r="O36" i="29"/>
  <c r="O37" i="29"/>
  <c r="O38" i="29"/>
  <c r="O39" i="29"/>
  <c r="O40" i="29"/>
  <c r="O41" i="29"/>
  <c r="O42" i="29"/>
  <c r="O43" i="29"/>
  <c r="O44" i="29"/>
  <c r="O45" i="29"/>
  <c r="O46" i="29"/>
  <c r="O47" i="29"/>
  <c r="O48" i="29"/>
  <c r="O49" i="29"/>
  <c r="O50" i="29"/>
  <c r="O51" i="29"/>
  <c r="O52" i="29"/>
  <c r="O53" i="29"/>
  <c r="O54" i="29"/>
  <c r="O55" i="29"/>
  <c r="O56" i="29"/>
  <c r="O57" i="29"/>
  <c r="O58" i="29"/>
  <c r="O59" i="29"/>
  <c r="O60" i="29"/>
  <c r="O61" i="29"/>
  <c r="O62" i="29"/>
  <c r="O63" i="29"/>
  <c r="O64" i="29"/>
  <c r="O65" i="29"/>
  <c r="O66" i="29"/>
  <c r="O67" i="29"/>
  <c r="O68" i="29"/>
  <c r="O69" i="29"/>
  <c r="O70" i="29"/>
  <c r="O71" i="29"/>
  <c r="O72" i="29"/>
  <c r="O73" i="29"/>
  <c r="O74" i="29"/>
  <c r="O75" i="29"/>
  <c r="O76" i="29"/>
  <c r="O77" i="29"/>
  <c r="O78" i="29"/>
  <c r="O79" i="29"/>
  <c r="O35" i="29"/>
  <c r="D8" i="14"/>
  <c r="D14" i="14" s="1"/>
  <c r="D7" i="14"/>
  <c r="L36" i="29"/>
  <c r="L37" i="29"/>
  <c r="L38" i="29"/>
  <c r="L39" i="29"/>
  <c r="L40" i="29"/>
  <c r="L41" i="29"/>
  <c r="L42" i="29"/>
  <c r="L43" i="29"/>
  <c r="L44" i="29"/>
  <c r="L45" i="29"/>
  <c r="L46" i="29"/>
  <c r="L47" i="29"/>
  <c r="L48" i="29"/>
  <c r="L49" i="29"/>
  <c r="L50" i="29"/>
  <c r="L51" i="29"/>
  <c r="L52" i="29"/>
  <c r="L53" i="29"/>
  <c r="L54" i="29"/>
  <c r="L55" i="29"/>
  <c r="L56" i="29"/>
  <c r="L57" i="29"/>
  <c r="L58" i="29"/>
  <c r="L59" i="29"/>
  <c r="L60" i="29"/>
  <c r="L61" i="29"/>
  <c r="L62" i="29"/>
  <c r="L63" i="29"/>
  <c r="L64" i="29"/>
  <c r="L65" i="29"/>
  <c r="L66" i="29"/>
  <c r="L67" i="29"/>
  <c r="L68" i="29"/>
  <c r="L69" i="29"/>
  <c r="L70" i="29"/>
  <c r="L71" i="29"/>
  <c r="L72" i="29"/>
  <c r="L73" i="29"/>
  <c r="L74" i="29"/>
  <c r="L75" i="29"/>
  <c r="L76" i="29"/>
  <c r="L77" i="29"/>
  <c r="L78" i="29"/>
  <c r="L79" i="29"/>
  <c r="L35" i="29"/>
  <c r="C5" i="29"/>
  <c r="C10" i="29"/>
  <c r="C11" i="29"/>
  <c r="C15" i="29"/>
  <c r="C16" i="29"/>
  <c r="C21" i="29"/>
  <c r="C25" i="29"/>
  <c r="M58" i="29" s="1"/>
  <c r="C29" i="29"/>
  <c r="R29" i="31"/>
  <c r="I80" i="31"/>
  <c r="I81" i="31"/>
  <c r="I82" i="31"/>
  <c r="I83" i="31"/>
  <c r="I84" i="31"/>
  <c r="I85" i="31"/>
  <c r="I86" i="31"/>
  <c r="I87" i="31"/>
  <c r="I88" i="31"/>
  <c r="I89" i="31"/>
  <c r="I90" i="31"/>
  <c r="I91" i="31"/>
  <c r="I92" i="31"/>
  <c r="I93" i="31"/>
  <c r="I94" i="31"/>
  <c r="I95" i="31"/>
  <c r="I96" i="31"/>
  <c r="I97" i="31"/>
  <c r="I98" i="31"/>
  <c r="I99" i="31"/>
  <c r="I100" i="31"/>
  <c r="I101" i="31"/>
  <c r="I102" i="31"/>
  <c r="I103" i="31"/>
  <c r="I104" i="31"/>
  <c r="I105" i="31"/>
  <c r="I106" i="31"/>
  <c r="I107" i="31"/>
  <c r="I108" i="31"/>
  <c r="I109" i="31"/>
  <c r="I110" i="31"/>
  <c r="I111" i="31"/>
  <c r="I112" i="31"/>
  <c r="I113" i="31"/>
  <c r="I114" i="31"/>
  <c r="I115" i="31"/>
  <c r="I116" i="31"/>
  <c r="I117" i="31"/>
  <c r="I118" i="31"/>
  <c r="I119" i="31"/>
  <c r="I120" i="31"/>
  <c r="I121" i="31"/>
  <c r="I122" i="31"/>
  <c r="I123" i="31"/>
  <c r="I79" i="31"/>
  <c r="I81" i="30"/>
  <c r="J81" i="30"/>
  <c r="I82" i="30"/>
  <c r="J82" i="30"/>
  <c r="I83" i="30"/>
  <c r="J83" i="30"/>
  <c r="I84" i="30"/>
  <c r="J84" i="30"/>
  <c r="I85" i="30"/>
  <c r="J85" i="30"/>
  <c r="I86" i="30"/>
  <c r="J86" i="30"/>
  <c r="I87" i="30"/>
  <c r="J87" i="30"/>
  <c r="I88" i="30"/>
  <c r="J88" i="30"/>
  <c r="I89" i="30"/>
  <c r="J89" i="30"/>
  <c r="I90" i="30"/>
  <c r="J90" i="30"/>
  <c r="I91" i="30"/>
  <c r="J91" i="30"/>
  <c r="I92" i="30"/>
  <c r="J92" i="30"/>
  <c r="I93" i="30"/>
  <c r="J93" i="30"/>
  <c r="I94" i="30"/>
  <c r="J94" i="30"/>
  <c r="I95" i="30"/>
  <c r="J95" i="30"/>
  <c r="I96" i="30"/>
  <c r="J96" i="30"/>
  <c r="I97" i="30"/>
  <c r="J97" i="30"/>
  <c r="I98" i="30"/>
  <c r="J98" i="30"/>
  <c r="I99" i="30"/>
  <c r="J99" i="30"/>
  <c r="I100" i="30"/>
  <c r="J100" i="30"/>
  <c r="I101" i="30"/>
  <c r="J101" i="30"/>
  <c r="I102" i="30"/>
  <c r="J102" i="30"/>
  <c r="I103" i="30"/>
  <c r="J103" i="30"/>
  <c r="I104" i="30"/>
  <c r="J104" i="30"/>
  <c r="I105" i="30"/>
  <c r="J105" i="30"/>
  <c r="I106" i="30"/>
  <c r="J106" i="30"/>
  <c r="I107" i="30"/>
  <c r="J107" i="30"/>
  <c r="I108" i="30"/>
  <c r="J108" i="30"/>
  <c r="I109" i="30"/>
  <c r="J109" i="30"/>
  <c r="I110" i="30"/>
  <c r="J110" i="30"/>
  <c r="I111" i="30"/>
  <c r="J111" i="30"/>
  <c r="I112" i="30"/>
  <c r="J112" i="30"/>
  <c r="I113" i="30"/>
  <c r="J113" i="30"/>
  <c r="I114" i="30"/>
  <c r="J114" i="30"/>
  <c r="I115" i="30"/>
  <c r="J115" i="30"/>
  <c r="I116" i="30"/>
  <c r="J116" i="30"/>
  <c r="I117" i="30"/>
  <c r="J117" i="30"/>
  <c r="I118" i="30"/>
  <c r="J118" i="30"/>
  <c r="I119" i="30"/>
  <c r="J119" i="30"/>
  <c r="I120" i="30"/>
  <c r="J120" i="30"/>
  <c r="I121" i="30"/>
  <c r="J121" i="30"/>
  <c r="I122" i="30"/>
  <c r="J122" i="30"/>
  <c r="I123" i="30"/>
  <c r="J123" i="30"/>
  <c r="I124" i="30"/>
  <c r="J124" i="30"/>
  <c r="J80" i="30"/>
  <c r="I80" i="30"/>
  <c r="F79" i="17"/>
  <c r="E80" i="17"/>
  <c r="F80" i="17"/>
  <c r="E81" i="17"/>
  <c r="F81" i="17"/>
  <c r="E82" i="17"/>
  <c r="F82" i="17"/>
  <c r="E83" i="17"/>
  <c r="F83" i="17"/>
  <c r="E84" i="17"/>
  <c r="F84" i="17"/>
  <c r="E85" i="17"/>
  <c r="F85" i="17"/>
  <c r="E86" i="17"/>
  <c r="F86" i="17"/>
  <c r="E87" i="17"/>
  <c r="F87" i="17"/>
  <c r="E88" i="17"/>
  <c r="F88" i="17"/>
  <c r="E89" i="17"/>
  <c r="F89" i="17"/>
  <c r="E90" i="17"/>
  <c r="F90" i="17"/>
  <c r="E91" i="17"/>
  <c r="F91" i="17"/>
  <c r="E92" i="17"/>
  <c r="F92" i="17"/>
  <c r="E93" i="17"/>
  <c r="F93" i="17"/>
  <c r="E94" i="17"/>
  <c r="F94" i="17"/>
  <c r="E95" i="17"/>
  <c r="F95" i="17"/>
  <c r="E96" i="17"/>
  <c r="F96" i="17"/>
  <c r="E97" i="17"/>
  <c r="F97" i="17"/>
  <c r="E98" i="17"/>
  <c r="F98" i="17"/>
  <c r="E99" i="17"/>
  <c r="F99" i="17"/>
  <c r="E100" i="17"/>
  <c r="F100" i="17"/>
  <c r="E101" i="17"/>
  <c r="F101" i="17"/>
  <c r="E102" i="17"/>
  <c r="F102" i="17"/>
  <c r="E103" i="17"/>
  <c r="F103" i="17"/>
  <c r="E104" i="17"/>
  <c r="F104" i="17"/>
  <c r="E105" i="17"/>
  <c r="F105" i="17"/>
  <c r="E106" i="17"/>
  <c r="F106" i="17"/>
  <c r="E107" i="17"/>
  <c r="F107" i="17"/>
  <c r="E108" i="17"/>
  <c r="F108" i="17"/>
  <c r="E109" i="17"/>
  <c r="F109" i="17"/>
  <c r="E110" i="17"/>
  <c r="F110" i="17"/>
  <c r="E111" i="17"/>
  <c r="F111" i="17"/>
  <c r="E112" i="17"/>
  <c r="F112" i="17"/>
  <c r="E113" i="17"/>
  <c r="F113" i="17"/>
  <c r="E114" i="17"/>
  <c r="F114" i="17"/>
  <c r="E115" i="17"/>
  <c r="F115" i="17"/>
  <c r="E116" i="17"/>
  <c r="F116" i="17"/>
  <c r="E117" i="17"/>
  <c r="F117" i="17"/>
  <c r="E118" i="17"/>
  <c r="F118" i="17"/>
  <c r="E119" i="17"/>
  <c r="F119" i="17"/>
  <c r="E120" i="17"/>
  <c r="F120" i="17"/>
  <c r="E121" i="17"/>
  <c r="F121" i="17"/>
  <c r="E122" i="17"/>
  <c r="F122" i="17"/>
  <c r="E123" i="17"/>
  <c r="F123" i="17"/>
  <c r="E79" i="17"/>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79" i="31"/>
  <c r="R30" i="31"/>
  <c r="R31" i="31"/>
  <c r="R32" i="31"/>
  <c r="R33" i="31"/>
  <c r="R34" i="31"/>
  <c r="R35" i="31"/>
  <c r="R36" i="31"/>
  <c r="R37" i="31"/>
  <c r="R38" i="31"/>
  <c r="R39" i="31"/>
  <c r="R40" i="31"/>
  <c r="R41" i="31"/>
  <c r="R42" i="31"/>
  <c r="R43" i="31"/>
  <c r="R44" i="31"/>
  <c r="R45" i="31"/>
  <c r="R46" i="31"/>
  <c r="R47" i="31"/>
  <c r="R48" i="31"/>
  <c r="R49" i="31"/>
  <c r="R50" i="31"/>
  <c r="R51" i="31"/>
  <c r="R52" i="31"/>
  <c r="R53" i="31"/>
  <c r="R54" i="31"/>
  <c r="R55" i="31"/>
  <c r="R56" i="31"/>
  <c r="R57" i="31"/>
  <c r="R58" i="31"/>
  <c r="R59" i="31"/>
  <c r="R60" i="31"/>
  <c r="R61" i="31"/>
  <c r="R62" i="31"/>
  <c r="R63" i="31"/>
  <c r="R64" i="31"/>
  <c r="R65" i="31"/>
  <c r="R66" i="31"/>
  <c r="R67" i="31"/>
  <c r="R68" i="31"/>
  <c r="R69" i="31"/>
  <c r="R70" i="31"/>
  <c r="R71" i="31"/>
  <c r="R72" i="31"/>
  <c r="R73" i="31"/>
  <c r="P30" i="31"/>
  <c r="P31" i="31"/>
  <c r="P32" i="31"/>
  <c r="P33" i="31"/>
  <c r="P34" i="31"/>
  <c r="P35" i="31"/>
  <c r="P36" i="31"/>
  <c r="P37" i="31"/>
  <c r="P38" i="31"/>
  <c r="P39" i="31"/>
  <c r="P40" i="31"/>
  <c r="P41" i="31"/>
  <c r="P42" i="31"/>
  <c r="P43" i="31"/>
  <c r="P44" i="31"/>
  <c r="P45" i="31"/>
  <c r="P46" i="31"/>
  <c r="P47" i="31"/>
  <c r="P48" i="31"/>
  <c r="P49" i="31"/>
  <c r="P50" i="31"/>
  <c r="P51" i="31"/>
  <c r="P52" i="31"/>
  <c r="P53" i="31"/>
  <c r="P54" i="31"/>
  <c r="P55" i="31"/>
  <c r="P56" i="31"/>
  <c r="P57" i="31"/>
  <c r="P58" i="31"/>
  <c r="P59" i="31"/>
  <c r="P60" i="31"/>
  <c r="P61" i="31"/>
  <c r="P62" i="31"/>
  <c r="P63" i="31"/>
  <c r="P64" i="31"/>
  <c r="P65" i="31"/>
  <c r="P66" i="31"/>
  <c r="P67" i="31"/>
  <c r="P68" i="31"/>
  <c r="P69" i="31"/>
  <c r="P70" i="31"/>
  <c r="P71" i="31"/>
  <c r="P72" i="31"/>
  <c r="P73" i="31"/>
  <c r="P29" i="31"/>
  <c r="O29" i="31"/>
  <c r="N31" i="30"/>
  <c r="N32" i="30"/>
  <c r="N33" i="30"/>
  <c r="N34" i="30"/>
  <c r="N35" i="30"/>
  <c r="N36" i="30"/>
  <c r="N37" i="30"/>
  <c r="N38" i="30"/>
  <c r="N39" i="30"/>
  <c r="N40" i="30"/>
  <c r="N41" i="30"/>
  <c r="N42" i="30"/>
  <c r="N43" i="30"/>
  <c r="N44" i="30"/>
  <c r="N45" i="30"/>
  <c r="N46" i="30"/>
  <c r="N47" i="30"/>
  <c r="N48" i="30"/>
  <c r="N49" i="30"/>
  <c r="N50" i="30"/>
  <c r="N51" i="30"/>
  <c r="N52" i="30"/>
  <c r="N53" i="30"/>
  <c r="N54" i="30"/>
  <c r="N55" i="30"/>
  <c r="N56" i="30"/>
  <c r="N57" i="30"/>
  <c r="N58" i="30"/>
  <c r="N59" i="30"/>
  <c r="N60" i="30"/>
  <c r="N61" i="30"/>
  <c r="N62" i="30"/>
  <c r="N63" i="30"/>
  <c r="N64" i="30"/>
  <c r="N65" i="30"/>
  <c r="N66" i="30"/>
  <c r="N67" i="30"/>
  <c r="N68" i="30"/>
  <c r="N69" i="30"/>
  <c r="N70" i="30"/>
  <c r="N71" i="30"/>
  <c r="N72" i="30"/>
  <c r="N73" i="30"/>
  <c r="N74" i="30"/>
  <c r="N30" i="30"/>
  <c r="L31" i="30"/>
  <c r="L32" i="30"/>
  <c r="L33" i="30"/>
  <c r="L34" i="30"/>
  <c r="L35" i="30"/>
  <c r="L36" i="30"/>
  <c r="L37" i="30"/>
  <c r="L38" i="30"/>
  <c r="L39" i="30"/>
  <c r="L40" i="30"/>
  <c r="L41" i="30"/>
  <c r="L42" i="30"/>
  <c r="L43" i="30"/>
  <c r="L44" i="30"/>
  <c r="L45" i="30"/>
  <c r="L46" i="30"/>
  <c r="L47" i="30"/>
  <c r="L48" i="30"/>
  <c r="L49" i="30"/>
  <c r="L50" i="30"/>
  <c r="L51" i="30"/>
  <c r="L52" i="30"/>
  <c r="L53" i="30"/>
  <c r="L54" i="30"/>
  <c r="L55" i="30"/>
  <c r="L56" i="30"/>
  <c r="L57" i="30"/>
  <c r="L58" i="30"/>
  <c r="L59" i="30"/>
  <c r="L60" i="30"/>
  <c r="L61" i="30"/>
  <c r="L62" i="30"/>
  <c r="L63" i="30"/>
  <c r="L64" i="30"/>
  <c r="L65" i="30"/>
  <c r="L66" i="30"/>
  <c r="L67" i="30"/>
  <c r="L68" i="30"/>
  <c r="L69" i="30"/>
  <c r="L70" i="30"/>
  <c r="L71" i="30"/>
  <c r="L72" i="30"/>
  <c r="L73" i="30"/>
  <c r="L74" i="30"/>
  <c r="L30" i="30"/>
  <c r="N30" i="17"/>
  <c r="N31" i="17"/>
  <c r="N32" i="17"/>
  <c r="N33" i="17"/>
  <c r="N34" i="17"/>
  <c r="N35" i="17"/>
  <c r="N36" i="17"/>
  <c r="N37" i="17"/>
  <c r="N38" i="17"/>
  <c r="N39" i="17"/>
  <c r="N40" i="17"/>
  <c r="N41" i="17"/>
  <c r="N42" i="17"/>
  <c r="N43" i="17"/>
  <c r="N44" i="17"/>
  <c r="N45" i="17"/>
  <c r="N46" i="17"/>
  <c r="N47" i="17"/>
  <c r="N48" i="17"/>
  <c r="N49" i="17"/>
  <c r="N50" i="17"/>
  <c r="N51" i="17"/>
  <c r="N52" i="17"/>
  <c r="N53" i="17"/>
  <c r="N54" i="17"/>
  <c r="N55" i="17"/>
  <c r="N56" i="17"/>
  <c r="N57" i="17"/>
  <c r="N58" i="17"/>
  <c r="N59" i="17"/>
  <c r="N60" i="17"/>
  <c r="N61" i="17"/>
  <c r="N62" i="17"/>
  <c r="N63" i="17"/>
  <c r="N64" i="17"/>
  <c r="N65" i="17"/>
  <c r="N66" i="17"/>
  <c r="N67" i="17"/>
  <c r="N68" i="17"/>
  <c r="N69" i="17"/>
  <c r="N70" i="17"/>
  <c r="N71" i="17"/>
  <c r="N72" i="17"/>
  <c r="N73" i="17"/>
  <c r="N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J61" i="17"/>
  <c r="J62" i="17"/>
  <c r="J63" i="17"/>
  <c r="J64" i="17"/>
  <c r="J65" i="17"/>
  <c r="J66" i="17"/>
  <c r="J67" i="17"/>
  <c r="J68" i="17"/>
  <c r="J69" i="17"/>
  <c r="J70" i="17"/>
  <c r="J71" i="17"/>
  <c r="J72" i="17"/>
  <c r="J73" i="17"/>
  <c r="J29" i="17"/>
  <c r="O30" i="31"/>
  <c r="O31" i="31"/>
  <c r="O32" i="31"/>
  <c r="O33" i="31"/>
  <c r="O34" i="31"/>
  <c r="O35" i="31"/>
  <c r="O36" i="31"/>
  <c r="O37" i="31"/>
  <c r="O38" i="31"/>
  <c r="O39" i="31"/>
  <c r="O40" i="31"/>
  <c r="O41" i="31"/>
  <c r="O42" i="31"/>
  <c r="O43" i="31"/>
  <c r="O44" i="31"/>
  <c r="O45" i="31"/>
  <c r="O46" i="31"/>
  <c r="O47" i="31"/>
  <c r="O48" i="31"/>
  <c r="O49" i="31"/>
  <c r="O50" i="31"/>
  <c r="O51" i="31"/>
  <c r="O52" i="31"/>
  <c r="O53" i="31"/>
  <c r="O54" i="31"/>
  <c r="O55" i="31"/>
  <c r="O56" i="31"/>
  <c r="O57" i="31"/>
  <c r="O58" i="31"/>
  <c r="O59" i="31"/>
  <c r="O60" i="31"/>
  <c r="O61" i="31"/>
  <c r="O62" i="31"/>
  <c r="O63" i="31"/>
  <c r="O64" i="31"/>
  <c r="O65" i="31"/>
  <c r="O66" i="31"/>
  <c r="O67" i="31"/>
  <c r="O68" i="31"/>
  <c r="O69" i="31"/>
  <c r="O70" i="31"/>
  <c r="O71" i="31"/>
  <c r="O72" i="31"/>
  <c r="O73" i="31"/>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60" i="30"/>
  <c r="K61" i="30"/>
  <c r="K62" i="30"/>
  <c r="K63" i="30"/>
  <c r="K64" i="30"/>
  <c r="K65" i="30"/>
  <c r="K66" i="30"/>
  <c r="K67" i="30"/>
  <c r="K68" i="30"/>
  <c r="K69" i="30"/>
  <c r="K70" i="30"/>
  <c r="K71" i="30"/>
  <c r="K72" i="30"/>
  <c r="K73" i="30"/>
  <c r="K74" i="30"/>
  <c r="D16" i="17"/>
  <c r="D17" i="17"/>
  <c r="D12" i="17"/>
  <c r="C88" i="17" s="1"/>
  <c r="D13" i="17"/>
  <c r="C118" i="17" s="1"/>
  <c r="K73" i="17" l="1"/>
  <c r="E90" i="30"/>
  <c r="E91" i="30" s="1"/>
  <c r="E92" i="30" s="1"/>
  <c r="E93" i="30" s="1"/>
  <c r="E94" i="30" s="1"/>
  <c r="E95" i="30" s="1"/>
  <c r="E96" i="30" s="1"/>
  <c r="E97" i="30" s="1"/>
  <c r="E98" i="30" s="1"/>
  <c r="E99" i="30" s="1"/>
  <c r="E100" i="30" s="1"/>
  <c r="E101" i="30" s="1"/>
  <c r="E102" i="30" s="1"/>
  <c r="E103" i="30" s="1"/>
  <c r="E104" i="30" s="1"/>
  <c r="E105" i="30" s="1"/>
  <c r="E106" i="30" s="1"/>
  <c r="E107" i="30" s="1"/>
  <c r="E108" i="30" s="1"/>
  <c r="E109" i="30" s="1"/>
  <c r="E110" i="30" s="1"/>
  <c r="E111" i="30" s="1"/>
  <c r="E112" i="30" s="1"/>
  <c r="E113" i="30" s="1"/>
  <c r="E114" i="30" s="1"/>
  <c r="E115" i="30" s="1"/>
  <c r="E116" i="30" s="1"/>
  <c r="E117" i="30" s="1"/>
  <c r="E118" i="30" s="1"/>
  <c r="M73" i="17"/>
  <c r="L73" i="17"/>
  <c r="L69" i="17"/>
  <c r="K69" i="17"/>
  <c r="K30" i="17"/>
  <c r="M70" i="17"/>
  <c r="K72" i="17"/>
  <c r="M57" i="29"/>
  <c r="M55" i="29"/>
  <c r="C24" i="21" a="1"/>
  <c r="C24" i="21" s="1"/>
  <c r="C30" i="21" a="1"/>
  <c r="C30" i="21" s="1"/>
  <c r="M79" i="29"/>
  <c r="M77" i="29"/>
  <c r="M70" i="29"/>
  <c r="M69" i="29"/>
  <c r="M67" i="29"/>
  <c r="M65" i="29"/>
  <c r="L29" i="17"/>
  <c r="K71" i="17"/>
  <c r="L70" i="17"/>
  <c r="M30" i="17"/>
  <c r="L71" i="17"/>
  <c r="M29" i="17"/>
  <c r="K29" i="17"/>
  <c r="L30" i="17"/>
  <c r="M72" i="17"/>
  <c r="K70" i="17"/>
  <c r="L72" i="17"/>
  <c r="M69" i="17"/>
  <c r="M71" i="17"/>
  <c r="M43" i="29"/>
  <c r="M41" i="29"/>
  <c r="M53" i="29"/>
  <c r="M45" i="29"/>
  <c r="M46" i="29"/>
  <c r="M47" i="29"/>
  <c r="M35" i="29"/>
  <c r="M68" i="29"/>
  <c r="M56" i="29"/>
  <c r="M44" i="29"/>
  <c r="C25" i="21" a="1"/>
  <c r="C25" i="21" s="1"/>
  <c r="C31" i="21" a="1"/>
  <c r="C31" i="21" s="1"/>
  <c r="M78" i="29"/>
  <c r="M66" i="29"/>
  <c r="M54" i="29"/>
  <c r="M42" i="29"/>
  <c r="C26" i="21" a="1"/>
  <c r="C26" i="21" s="1"/>
  <c r="C32" i="21" a="1"/>
  <c r="C32" i="21" s="1"/>
  <c r="M76" i="29"/>
  <c r="M64" i="29"/>
  <c r="M52" i="29"/>
  <c r="M40" i="29"/>
  <c r="C27" i="21" a="1"/>
  <c r="C27" i="21" s="1"/>
  <c r="C33" i="21" a="1"/>
  <c r="C33" i="21" s="1"/>
  <c r="M75" i="29"/>
  <c r="M63" i="29"/>
  <c r="M51" i="29"/>
  <c r="M39" i="29"/>
  <c r="M74" i="29"/>
  <c r="M62" i="29"/>
  <c r="M50" i="29"/>
  <c r="M38" i="29"/>
  <c r="C28" i="21" a="1"/>
  <c r="C28" i="21" s="1"/>
  <c r="C34" i="21" a="1"/>
  <c r="C34" i="21" s="1"/>
  <c r="M73" i="29"/>
  <c r="M61" i="29"/>
  <c r="M49" i="29"/>
  <c r="M37" i="29"/>
  <c r="M72" i="29"/>
  <c r="M60" i="29"/>
  <c r="M48" i="29"/>
  <c r="M36" i="29"/>
  <c r="C29" i="21" a="1"/>
  <c r="C29" i="21" s="1"/>
  <c r="M71" i="29"/>
  <c r="M59" i="29"/>
  <c r="C89" i="31"/>
  <c r="G89" i="31" s="1"/>
  <c r="C119" i="31"/>
  <c r="D119" i="31" s="1"/>
  <c r="C121" i="31"/>
  <c r="G121" i="31" s="1"/>
  <c r="C123" i="31"/>
  <c r="G123" i="31" s="1"/>
  <c r="C120" i="31"/>
  <c r="C122" i="31"/>
  <c r="G118" i="31"/>
  <c r="G88" i="31"/>
  <c r="F118" i="31"/>
  <c r="F88" i="31"/>
  <c r="E118" i="31"/>
  <c r="E88" i="31"/>
  <c r="D118" i="31"/>
  <c r="D88" i="31"/>
  <c r="E123" i="31"/>
  <c r="D123" i="31"/>
  <c r="E121" i="30"/>
  <c r="F121" i="30" s="1"/>
  <c r="E123" i="30"/>
  <c r="F123" i="30" s="1"/>
  <c r="E120" i="30"/>
  <c r="F120" i="30" s="1"/>
  <c r="E124" i="30"/>
  <c r="F124" i="30" s="1"/>
  <c r="E122" i="30"/>
  <c r="F122" i="30" s="1"/>
  <c r="G119" i="30"/>
  <c r="H119" i="30" s="1"/>
  <c r="C119" i="30"/>
  <c r="C89" i="30"/>
  <c r="G89" i="30"/>
  <c r="F119" i="30"/>
  <c r="D88" i="17"/>
  <c r="C89" i="17"/>
  <c r="C119" i="17"/>
  <c r="D119" i="17" s="1"/>
  <c r="C123" i="17"/>
  <c r="D123" i="17" s="1"/>
  <c r="C120" i="17"/>
  <c r="D120" i="17" s="1"/>
  <c r="C121" i="17"/>
  <c r="D121" i="17" s="1"/>
  <c r="D118" i="17"/>
  <c r="C122" i="17"/>
  <c r="D122" i="17" s="1"/>
  <c r="C15" i="8"/>
  <c r="D121" i="31" l="1"/>
  <c r="F89" i="31"/>
  <c r="F121" i="31"/>
  <c r="D89" i="31"/>
  <c r="E89" i="31"/>
  <c r="G120" i="31"/>
  <c r="G122" i="31"/>
  <c r="E121" i="31"/>
  <c r="D122" i="31"/>
  <c r="F120" i="31"/>
  <c r="G119" i="31"/>
  <c r="C90" i="31"/>
  <c r="E120" i="31"/>
  <c r="C90" i="30"/>
  <c r="C91" i="30" s="1"/>
  <c r="C92" i="30" s="1"/>
  <c r="F123" i="31"/>
  <c r="D120" i="31"/>
  <c r="F119" i="31"/>
  <c r="E119" i="31"/>
  <c r="E122" i="31"/>
  <c r="F122" i="31"/>
  <c r="C123" i="30"/>
  <c r="D123" i="30" s="1"/>
  <c r="C121" i="30"/>
  <c r="D121" i="30" s="1"/>
  <c r="C122" i="30"/>
  <c r="D122" i="30" s="1"/>
  <c r="C120" i="30"/>
  <c r="D120" i="30" s="1"/>
  <c r="C124" i="30"/>
  <c r="D124" i="30" s="1"/>
  <c r="G90" i="30"/>
  <c r="G124" i="30"/>
  <c r="H124" i="30" s="1"/>
  <c r="G121" i="30"/>
  <c r="H121" i="30" s="1"/>
  <c r="G123" i="30"/>
  <c r="H123" i="30" s="1"/>
  <c r="G122" i="30"/>
  <c r="H122" i="30" s="1"/>
  <c r="G120" i="30"/>
  <c r="H120" i="30" s="1"/>
  <c r="D119" i="30"/>
  <c r="H89" i="30"/>
  <c r="D89" i="30"/>
  <c r="D89" i="17"/>
  <c r="C90" i="17"/>
  <c r="H95" i="28"/>
  <c r="D60" i="28"/>
  <c r="C15" i="7"/>
  <c r="P36" i="29"/>
  <c r="P37" i="29"/>
  <c r="P38" i="29"/>
  <c r="P39" i="29"/>
  <c r="P40" i="29"/>
  <c r="P41" i="29"/>
  <c r="P35" i="29"/>
  <c r="P42" i="29"/>
  <c r="P43" i="29"/>
  <c r="P44" i="29"/>
  <c r="P45" i="29"/>
  <c r="P46" i="29"/>
  <c r="P47" i="29"/>
  <c r="P48" i="29"/>
  <c r="P49" i="29"/>
  <c r="P50" i="29"/>
  <c r="P51" i="29"/>
  <c r="P52" i="29"/>
  <c r="P53" i="29"/>
  <c r="P54" i="29"/>
  <c r="P55" i="29"/>
  <c r="P56" i="29"/>
  <c r="P57" i="29"/>
  <c r="P58" i="29"/>
  <c r="P59" i="29"/>
  <c r="P60" i="29"/>
  <c r="P61" i="29"/>
  <c r="P62" i="29"/>
  <c r="P63" i="29"/>
  <c r="P64" i="29"/>
  <c r="P65" i="29"/>
  <c r="P66" i="29"/>
  <c r="P67" i="29"/>
  <c r="P68" i="29"/>
  <c r="P69" i="29"/>
  <c r="P70" i="29"/>
  <c r="P71" i="29"/>
  <c r="P72" i="29"/>
  <c r="P73" i="29"/>
  <c r="P74" i="29"/>
  <c r="P75" i="29"/>
  <c r="P76" i="29"/>
  <c r="P77" i="29"/>
  <c r="P78" i="29"/>
  <c r="P79" i="29"/>
  <c r="G52" i="28"/>
  <c r="J52" i="28" s="1"/>
  <c r="G93" i="28"/>
  <c r="H93" i="28" s="1"/>
  <c r="G94" i="28"/>
  <c r="H94" i="28" s="1"/>
  <c r="G95" i="28"/>
  <c r="J95" i="28" s="1"/>
  <c r="G96" i="28"/>
  <c r="H96" i="28" s="1"/>
  <c r="E93" i="28"/>
  <c r="E94" i="28"/>
  <c r="E95" i="28"/>
  <c r="E96" i="28"/>
  <c r="D93" i="28"/>
  <c r="D94" i="28"/>
  <c r="D95" i="28"/>
  <c r="D96" i="28"/>
  <c r="C93" i="28"/>
  <c r="C94" i="28"/>
  <c r="C95" i="28"/>
  <c r="C96" i="28"/>
  <c r="C30" i="13" a="1"/>
  <c r="C30" i="13" s="1"/>
  <c r="C31" i="13" a="1"/>
  <c r="C31" i="13" s="1"/>
  <c r="C32" i="13" a="1"/>
  <c r="C32" i="13" s="1"/>
  <c r="C33" i="13" a="1"/>
  <c r="C33" i="13" s="1"/>
  <c r="C34" i="13" a="1"/>
  <c r="C34" i="13" s="1"/>
  <c r="C35" i="13" a="1"/>
  <c r="C35" i="13" s="1"/>
  <c r="C36" i="13" a="1"/>
  <c r="C36" i="13" s="1"/>
  <c r="C37" i="13" a="1"/>
  <c r="C37" i="13" s="1"/>
  <c r="C38" i="13" a="1"/>
  <c r="C38" i="13" s="1"/>
  <c r="C39" i="13" a="1"/>
  <c r="C39" i="13" s="1"/>
  <c r="C40" i="13" a="1"/>
  <c r="C40" i="13" s="1"/>
  <c r="C41" i="13" a="1"/>
  <c r="C41" i="13" s="1"/>
  <c r="C42" i="13" a="1"/>
  <c r="C42" i="13" s="1"/>
  <c r="C43" i="13" a="1"/>
  <c r="C43" i="13" s="1"/>
  <c r="C44" i="13" a="1"/>
  <c r="C44" i="13" s="1"/>
  <c r="C45" i="13" a="1"/>
  <c r="C45" i="13" s="1"/>
  <c r="C46" i="13" a="1"/>
  <c r="C46" i="13" s="1"/>
  <c r="C47" i="13" a="1"/>
  <c r="C47" i="13" s="1"/>
  <c r="C48" i="13" a="1"/>
  <c r="C48" i="13" s="1"/>
  <c r="C49" i="13" a="1"/>
  <c r="C49" i="13" s="1"/>
  <c r="C50" i="13" a="1"/>
  <c r="C50" i="13" s="1"/>
  <c r="C51" i="13" a="1"/>
  <c r="C51" i="13" s="1"/>
  <c r="C52" i="13" a="1"/>
  <c r="C52" i="13" s="1"/>
  <c r="C53" i="13" a="1"/>
  <c r="C53" i="13" s="1"/>
  <c r="C54" i="13" a="1"/>
  <c r="C54" i="13" s="1"/>
  <c r="C55" i="13" a="1"/>
  <c r="C55" i="13" s="1"/>
  <c r="C56" i="13" a="1"/>
  <c r="C56" i="13" s="1"/>
  <c r="C57" i="13" a="1"/>
  <c r="C57" i="13" s="1"/>
  <c r="C58" i="13" a="1"/>
  <c r="C58" i="13" s="1"/>
  <c r="C59" i="13" a="1"/>
  <c r="C59" i="13" s="1"/>
  <c r="C60" i="13" a="1"/>
  <c r="C60" i="13" s="1"/>
  <c r="C61" i="13" a="1"/>
  <c r="C61" i="13" s="1"/>
  <c r="C62" i="13" a="1"/>
  <c r="C62" i="13" s="1"/>
  <c r="C63" i="13" a="1"/>
  <c r="C63" i="13" s="1"/>
  <c r="C64" i="13" a="1"/>
  <c r="C64" i="13" s="1"/>
  <c r="C65" i="13" a="1"/>
  <c r="C65" i="13" s="1"/>
  <c r="C66" i="13" a="1"/>
  <c r="C66" i="13" s="1"/>
  <c r="C67" i="13" a="1"/>
  <c r="C67" i="13" s="1"/>
  <c r="C68" i="13" a="1"/>
  <c r="C68" i="13" s="1"/>
  <c r="C69" i="13" a="1"/>
  <c r="C69" i="13" s="1"/>
  <c r="C70" i="13" a="1"/>
  <c r="C70" i="13" s="1"/>
  <c r="C71" i="13" a="1"/>
  <c r="C71" i="13" s="1"/>
  <c r="C72" i="13" a="1"/>
  <c r="C72" i="13" s="1"/>
  <c r="C73" i="13" a="1"/>
  <c r="C73" i="13" s="1"/>
  <c r="C29" i="13" a="1"/>
  <c r="C29" i="13" s="1"/>
  <c r="C11" i="27"/>
  <c r="C10" i="27"/>
  <c r="C11" i="21"/>
  <c r="B8" i="18"/>
  <c r="B9" i="18" s="1"/>
  <c r="B10" i="18" s="1"/>
  <c r="B11" i="18" s="1"/>
  <c r="B7" i="18"/>
  <c r="C7" i="18"/>
  <c r="C8" i="18" s="1"/>
  <c r="C9" i="18" s="1"/>
  <c r="C10" i="18" s="1"/>
  <c r="C11" i="18" s="1"/>
  <c r="C12" i="18" s="1"/>
  <c r="C17" i="27"/>
  <c r="C16" i="27"/>
  <c r="C15" i="27"/>
  <c r="D54" i="28"/>
  <c r="E54" i="28"/>
  <c r="D55" i="28"/>
  <c r="E55" i="28"/>
  <c r="D56" i="28"/>
  <c r="E56" i="28"/>
  <c r="D57" i="28"/>
  <c r="E57" i="28"/>
  <c r="D58" i="28"/>
  <c r="E58" i="28"/>
  <c r="D59" i="28"/>
  <c r="E59" i="28"/>
  <c r="E60" i="28"/>
  <c r="D61" i="28"/>
  <c r="E61" i="28"/>
  <c r="D62" i="28"/>
  <c r="E62" i="28"/>
  <c r="D63" i="28"/>
  <c r="E63" i="28"/>
  <c r="D64" i="28"/>
  <c r="E64" i="28"/>
  <c r="D65" i="28"/>
  <c r="E65" i="28"/>
  <c r="D66" i="28"/>
  <c r="E66" i="28"/>
  <c r="D67" i="28"/>
  <c r="E67" i="28"/>
  <c r="D68" i="28"/>
  <c r="E68" i="28"/>
  <c r="D69" i="28"/>
  <c r="E69" i="28"/>
  <c r="D70" i="28"/>
  <c r="E70" i="28"/>
  <c r="D71" i="28"/>
  <c r="E71" i="28"/>
  <c r="D72" i="28"/>
  <c r="E72" i="28"/>
  <c r="D73" i="28"/>
  <c r="E73" i="28"/>
  <c r="D74" i="28"/>
  <c r="E74" i="28"/>
  <c r="D75" i="28"/>
  <c r="E75" i="28"/>
  <c r="D76" i="28"/>
  <c r="E76" i="28"/>
  <c r="D77" i="28"/>
  <c r="E77" i="28"/>
  <c r="D78" i="28"/>
  <c r="E78" i="28"/>
  <c r="D79" i="28"/>
  <c r="E79" i="28"/>
  <c r="D80" i="28"/>
  <c r="E80" i="28"/>
  <c r="D81" i="28"/>
  <c r="E81" i="28"/>
  <c r="D82" i="28"/>
  <c r="E82" i="28"/>
  <c r="D83" i="28"/>
  <c r="E83" i="28"/>
  <c r="D84" i="28"/>
  <c r="E84" i="28"/>
  <c r="D85" i="28"/>
  <c r="E85" i="28"/>
  <c r="D86" i="28"/>
  <c r="E86" i="28"/>
  <c r="D87" i="28"/>
  <c r="E87" i="28"/>
  <c r="D88" i="28"/>
  <c r="E88" i="28"/>
  <c r="D89" i="28"/>
  <c r="E89" i="28"/>
  <c r="D90" i="28"/>
  <c r="E90" i="28"/>
  <c r="D91" i="28"/>
  <c r="E91" i="28"/>
  <c r="D92" i="28"/>
  <c r="E92" i="28"/>
  <c r="E53" i="28"/>
  <c r="D53" i="28"/>
  <c r="C54" i="28"/>
  <c r="C55" i="28"/>
  <c r="C56" i="28"/>
  <c r="C57" i="28"/>
  <c r="C58" i="28"/>
  <c r="C59" i="28"/>
  <c r="C60" i="28"/>
  <c r="C61" i="28"/>
  <c r="C62" i="28"/>
  <c r="C63" i="28"/>
  <c r="C64" i="28"/>
  <c r="C65" i="28"/>
  <c r="C66" i="28"/>
  <c r="C67" i="28"/>
  <c r="C68" i="28"/>
  <c r="C69" i="28"/>
  <c r="C70" i="28"/>
  <c r="C71" i="28"/>
  <c r="C72" i="28"/>
  <c r="C73" i="28"/>
  <c r="C74" i="28"/>
  <c r="C75" i="28"/>
  <c r="C76" i="28"/>
  <c r="C77" i="28"/>
  <c r="C78" i="28"/>
  <c r="C79" i="28"/>
  <c r="C80" i="28"/>
  <c r="C81" i="28"/>
  <c r="C82" i="28"/>
  <c r="C83" i="28"/>
  <c r="C84" i="28"/>
  <c r="C85" i="28"/>
  <c r="C86" i="28"/>
  <c r="C87" i="28"/>
  <c r="C88" i="28"/>
  <c r="C89" i="28"/>
  <c r="C90" i="28"/>
  <c r="C91" i="28"/>
  <c r="C92" i="28"/>
  <c r="G53" i="28"/>
  <c r="H53" i="28" s="1"/>
  <c r="G92" i="28"/>
  <c r="H92" i="28" s="1"/>
  <c r="D90" i="30" l="1"/>
  <c r="D91" i="30"/>
  <c r="C91" i="31"/>
  <c r="G90" i="31"/>
  <c r="F90" i="31"/>
  <c r="D90" i="31"/>
  <c r="E90" i="31"/>
  <c r="I95" i="28"/>
  <c r="J94" i="28"/>
  <c r="I94" i="28"/>
  <c r="J93" i="28"/>
  <c r="J53" i="28"/>
  <c r="I52" i="28"/>
  <c r="I93" i="28"/>
  <c r="I53" i="28"/>
  <c r="K36" i="29" s="1" a="1"/>
  <c r="K36" i="29" s="1"/>
  <c r="N36" i="29" s="1"/>
  <c r="Q36" i="29" s="1"/>
  <c r="J96" i="28"/>
  <c r="J92" i="28"/>
  <c r="I96" i="28"/>
  <c r="I92" i="28"/>
  <c r="C93" i="30"/>
  <c r="D92" i="30"/>
  <c r="G91" i="30"/>
  <c r="H90" i="30"/>
  <c r="C91" i="17"/>
  <c r="D90" i="17"/>
  <c r="K77" i="29" a="1"/>
  <c r="K77" i="29" s="1"/>
  <c r="N77" i="29" s="1"/>
  <c r="Q77" i="29" s="1"/>
  <c r="K76" i="29" a="1"/>
  <c r="K76" i="29" s="1"/>
  <c r="N76" i="29" s="1"/>
  <c r="Q76" i="29" s="1"/>
  <c r="K35" i="29" a="1"/>
  <c r="K35" i="29" s="1"/>
  <c r="N35" i="29" s="1"/>
  <c r="Q35" i="29" s="1"/>
  <c r="K78" i="29" a="1"/>
  <c r="K78" i="29" s="1"/>
  <c r="N78" i="29" s="1"/>
  <c r="Q78" i="29" s="1"/>
  <c r="K75" i="29" a="1"/>
  <c r="K75" i="29" s="1"/>
  <c r="N75" i="29" s="1"/>
  <c r="Q75" i="29" s="1"/>
  <c r="G54" i="28"/>
  <c r="G55" i="28"/>
  <c r="C92" i="31" l="1"/>
  <c r="G91" i="31"/>
  <c r="F91" i="31"/>
  <c r="E91" i="31"/>
  <c r="D91" i="31"/>
  <c r="J71" i="30" a="1"/>
  <c r="J71" i="30" s="1"/>
  <c r="M71" i="30" s="1"/>
  <c r="N70" i="31" a="1"/>
  <c r="N70" i="31" s="1"/>
  <c r="Q70" i="31" s="1"/>
  <c r="M30" i="30"/>
  <c r="N29" i="31" a="1"/>
  <c r="N29" i="31" s="1"/>
  <c r="Q29" i="31" s="1"/>
  <c r="H54" i="28"/>
  <c r="F31" i="17" s="1"/>
  <c r="K31" i="17" s="1"/>
  <c r="I54" i="28"/>
  <c r="G31" i="17" s="1"/>
  <c r="L31" i="17" s="1"/>
  <c r="J54" i="28"/>
  <c r="H31" i="17" s="1"/>
  <c r="M31" i="17" s="1"/>
  <c r="N71" i="31" a="1"/>
  <c r="N71" i="31" s="1"/>
  <c r="Q71" i="31" s="1"/>
  <c r="J72" i="30" a="1"/>
  <c r="J72" i="30" s="1"/>
  <c r="M72" i="30" s="1"/>
  <c r="N73" i="31" a="1"/>
  <c r="N73" i="31" s="1"/>
  <c r="Q73" i="31" s="1"/>
  <c r="J74" i="30" a="1"/>
  <c r="J74" i="30" s="1"/>
  <c r="M74" i="30" s="1"/>
  <c r="J31" i="30" a="1"/>
  <c r="J31" i="30" s="1"/>
  <c r="M31" i="30" s="1"/>
  <c r="N30" i="31" a="1"/>
  <c r="N30" i="31" s="1"/>
  <c r="Q30" i="31" s="1"/>
  <c r="J55" i="28"/>
  <c r="H32" i="17" s="1"/>
  <c r="M32" i="17" s="1"/>
  <c r="H55" i="28"/>
  <c r="F32" i="17" s="1"/>
  <c r="K32" i="17" s="1"/>
  <c r="I55" i="28"/>
  <c r="G32" i="17" s="1"/>
  <c r="L32" i="17" s="1"/>
  <c r="K79" i="29" a="1"/>
  <c r="K79" i="29" s="1"/>
  <c r="N79" i="29" s="1"/>
  <c r="Q79" i="29" s="1"/>
  <c r="N69" i="31" a="1"/>
  <c r="N69" i="31" s="1"/>
  <c r="Q69" i="31" s="1"/>
  <c r="J70" i="30" a="1"/>
  <c r="J70" i="30" s="1"/>
  <c r="M70" i="30" s="1"/>
  <c r="N72" i="31" a="1"/>
  <c r="N72" i="31" s="1"/>
  <c r="Q72" i="31" s="1"/>
  <c r="J73" i="30" a="1"/>
  <c r="J73" i="30" s="1"/>
  <c r="M73" i="30" s="1"/>
  <c r="C94" i="30"/>
  <c r="D93" i="30"/>
  <c r="G92" i="30"/>
  <c r="H91" i="30"/>
  <c r="C92" i="17"/>
  <c r="D91" i="17"/>
  <c r="K37" i="29" a="1"/>
  <c r="K37" i="29" s="1"/>
  <c r="N37" i="29" s="1"/>
  <c r="Q37" i="29" s="1"/>
  <c r="G56" i="28"/>
  <c r="C93" i="31" l="1"/>
  <c r="D92" i="31"/>
  <c r="F92" i="31"/>
  <c r="E92" i="31"/>
  <c r="G92" i="31"/>
  <c r="N32" i="31" a="1"/>
  <c r="N32" i="31" s="1"/>
  <c r="Q32" i="31" s="1"/>
  <c r="J33" i="30" a="1"/>
  <c r="J33" i="30" s="1"/>
  <c r="M33" i="30" s="1"/>
  <c r="N31" i="31" a="1"/>
  <c r="N31" i="31" s="1"/>
  <c r="Q31" i="31" s="1"/>
  <c r="J32" i="30" a="1"/>
  <c r="J32" i="30" s="1"/>
  <c r="M32" i="30" s="1"/>
  <c r="K38" i="29" a="1"/>
  <c r="K38" i="29" s="1"/>
  <c r="N38" i="29" s="1"/>
  <c r="Q38" i="29" s="1"/>
  <c r="H56" i="28"/>
  <c r="F33" i="17" s="1"/>
  <c r="K33" i="17" s="1"/>
  <c r="I56" i="28"/>
  <c r="G33" i="17" s="1"/>
  <c r="L33" i="17" s="1"/>
  <c r="J56" i="28"/>
  <c r="H33" i="17" s="1"/>
  <c r="M33" i="17" s="1"/>
  <c r="C95" i="30"/>
  <c r="D94" i="30"/>
  <c r="G93" i="30"/>
  <c r="H92" i="30"/>
  <c r="D92" i="17"/>
  <c r="C93" i="17"/>
  <c r="G57" i="28"/>
  <c r="C94" i="31" l="1"/>
  <c r="F93" i="31"/>
  <c r="E93" i="31"/>
  <c r="G93" i="31"/>
  <c r="D93" i="31"/>
  <c r="H57" i="28"/>
  <c r="F34" i="17" s="1"/>
  <c r="K34" i="17" s="1"/>
  <c r="I57" i="28"/>
  <c r="J57" i="28"/>
  <c r="H34" i="17" s="1"/>
  <c r="M34" i="17" s="1"/>
  <c r="N33" i="31" a="1"/>
  <c r="N33" i="31" s="1"/>
  <c r="Q33" i="31" s="1"/>
  <c r="J34" i="30" a="1"/>
  <c r="J34" i="30" s="1"/>
  <c r="M34" i="30" s="1"/>
  <c r="K39" i="29" a="1"/>
  <c r="K39" i="29" s="1"/>
  <c r="N39" i="29" s="1"/>
  <c r="Q39" i="29" s="1"/>
  <c r="C96" i="30"/>
  <c r="D95" i="30"/>
  <c r="G94" i="30"/>
  <c r="H93" i="30"/>
  <c r="D93" i="17"/>
  <c r="C94" i="17"/>
  <c r="K40" i="29" a="1"/>
  <c r="K40" i="29" s="1"/>
  <c r="N40" i="29" s="1"/>
  <c r="Q40" i="29" s="1"/>
  <c r="G58" i="28"/>
  <c r="J35" i="30" l="1" a="1"/>
  <c r="J35" i="30" s="1"/>
  <c r="M35" i="30" s="1"/>
  <c r="G34" i="17"/>
  <c r="L34" i="17" s="1"/>
  <c r="C95" i="31"/>
  <c r="E94" i="31"/>
  <c r="D94" i="31"/>
  <c r="G94" i="31"/>
  <c r="F94" i="31"/>
  <c r="H58" i="28"/>
  <c r="F35" i="17" s="1"/>
  <c r="K35" i="17" s="1"/>
  <c r="I58" i="28"/>
  <c r="G35" i="17" s="1"/>
  <c r="L35" i="17" s="1"/>
  <c r="J58" i="28"/>
  <c r="H35" i="17" s="1"/>
  <c r="M35" i="17" s="1"/>
  <c r="N34" i="31" a="1"/>
  <c r="N34" i="31" s="1"/>
  <c r="Q34" i="31" s="1"/>
  <c r="C97" i="30"/>
  <c r="D96" i="30"/>
  <c r="G95" i="30"/>
  <c r="H94" i="30"/>
  <c r="C95" i="17"/>
  <c r="D94" i="17"/>
  <c r="K41" i="29" a="1"/>
  <c r="K41" i="29" s="1"/>
  <c r="N41" i="29" s="1"/>
  <c r="Q41" i="29" s="1"/>
  <c r="G59" i="28"/>
  <c r="C96" i="31" l="1"/>
  <c r="D95" i="31"/>
  <c r="G95" i="31"/>
  <c r="F95" i="31"/>
  <c r="E95" i="31"/>
  <c r="J59" i="28"/>
  <c r="H36" i="17" s="1"/>
  <c r="M36" i="17" s="1"/>
  <c r="H59" i="28"/>
  <c r="F36" i="17" s="1"/>
  <c r="K36" i="17" s="1"/>
  <c r="I59" i="28"/>
  <c r="G36" i="17" s="1"/>
  <c r="L36" i="17" s="1"/>
  <c r="N35" i="31" a="1"/>
  <c r="N35" i="31" s="1"/>
  <c r="Q35" i="31" s="1"/>
  <c r="J36" i="30" a="1"/>
  <c r="J36" i="30" s="1"/>
  <c r="M36" i="30" s="1"/>
  <c r="C98" i="30"/>
  <c r="D97" i="30"/>
  <c r="G96" i="30"/>
  <c r="H95" i="30"/>
  <c r="C96" i="17"/>
  <c r="D95" i="17"/>
  <c r="G60" i="28"/>
  <c r="K42" i="29" l="1" a="1"/>
  <c r="K42" i="29" s="1"/>
  <c r="N42" i="29" s="1"/>
  <c r="Q42" i="29" s="1"/>
  <c r="C97" i="31"/>
  <c r="D96" i="31"/>
  <c r="F96" i="31"/>
  <c r="G96" i="31"/>
  <c r="E96" i="31"/>
  <c r="H60" i="28"/>
  <c r="F37" i="17" s="1"/>
  <c r="K37" i="17" s="1"/>
  <c r="I60" i="28"/>
  <c r="G37" i="17" s="1"/>
  <c r="L37" i="17" s="1"/>
  <c r="J60" i="28"/>
  <c r="H37" i="17" s="1"/>
  <c r="M37" i="17" s="1"/>
  <c r="N36" i="31" a="1"/>
  <c r="N36" i="31" s="1"/>
  <c r="Q36" i="31" s="1"/>
  <c r="J37" i="30" a="1"/>
  <c r="J37" i="30" s="1"/>
  <c r="M37" i="30" s="1"/>
  <c r="C99" i="30"/>
  <c r="D98" i="30"/>
  <c r="G97" i="30"/>
  <c r="H96" i="30"/>
  <c r="D96" i="17"/>
  <c r="C97" i="17"/>
  <c r="G61" i="28"/>
  <c r="K43" i="29" l="1" a="1"/>
  <c r="K43" i="29" s="1"/>
  <c r="N43" i="29" s="1"/>
  <c r="Q43" i="29" s="1"/>
  <c r="C98" i="31"/>
  <c r="F97" i="31"/>
  <c r="E97" i="31"/>
  <c r="D97" i="31"/>
  <c r="G97" i="31"/>
  <c r="H61" i="28"/>
  <c r="F38" i="17" s="1"/>
  <c r="K38" i="17" s="1"/>
  <c r="I61" i="28"/>
  <c r="G38" i="17" s="1"/>
  <c r="L38" i="17" s="1"/>
  <c r="J61" i="28"/>
  <c r="H38" i="17" s="1"/>
  <c r="M38" i="17" s="1"/>
  <c r="N37" i="31" a="1"/>
  <c r="N37" i="31" s="1"/>
  <c r="Q37" i="31" s="1"/>
  <c r="J38" i="30" a="1"/>
  <c r="J38" i="30" s="1"/>
  <c r="M38" i="30" s="1"/>
  <c r="C100" i="30"/>
  <c r="D99" i="30"/>
  <c r="G98" i="30"/>
  <c r="H97" i="30"/>
  <c r="D97" i="17"/>
  <c r="C98" i="17"/>
  <c r="G62" i="28"/>
  <c r="K44" i="29" l="1" a="1"/>
  <c r="K44" i="29" s="1"/>
  <c r="N44" i="29" s="1"/>
  <c r="Q44" i="29" s="1"/>
  <c r="C99" i="31"/>
  <c r="E98" i="31"/>
  <c r="D98" i="31"/>
  <c r="G98" i="31"/>
  <c r="F98" i="31"/>
  <c r="H62" i="28"/>
  <c r="F39" i="17" s="1"/>
  <c r="K39" i="17" s="1"/>
  <c r="I62" i="28"/>
  <c r="G39" i="17" s="1"/>
  <c r="L39" i="17" s="1"/>
  <c r="J62" i="28"/>
  <c r="H39" i="17" s="1"/>
  <c r="M39" i="17" s="1"/>
  <c r="J39" i="30" a="1"/>
  <c r="J39" i="30" s="1"/>
  <c r="M39" i="30" s="1"/>
  <c r="N38" i="31" a="1"/>
  <c r="N38" i="31" s="1"/>
  <c r="Q38" i="31" s="1"/>
  <c r="C101" i="30"/>
  <c r="D100" i="30"/>
  <c r="G99" i="30"/>
  <c r="H98" i="30"/>
  <c r="C99" i="17"/>
  <c r="D98" i="17"/>
  <c r="G63" i="28"/>
  <c r="K45" i="29" l="1" a="1"/>
  <c r="K45" i="29" s="1"/>
  <c r="N45" i="29" s="1"/>
  <c r="Q45" i="29" s="1"/>
  <c r="C100" i="31"/>
  <c r="D99" i="31"/>
  <c r="F99" i="31"/>
  <c r="G99" i="31"/>
  <c r="E99" i="31"/>
  <c r="J63" i="28"/>
  <c r="H40" i="17" s="1"/>
  <c r="M40" i="17" s="1"/>
  <c r="H63" i="28"/>
  <c r="F40" i="17" s="1"/>
  <c r="K40" i="17" s="1"/>
  <c r="I63" i="28"/>
  <c r="G40" i="17" s="1"/>
  <c r="L40" i="17" s="1"/>
  <c r="N39" i="31" a="1"/>
  <c r="N39" i="31" s="1"/>
  <c r="Q39" i="31" s="1"/>
  <c r="J40" i="30" a="1"/>
  <c r="J40" i="30" s="1"/>
  <c r="M40" i="30" s="1"/>
  <c r="C102" i="30"/>
  <c r="D101" i="30"/>
  <c r="G100" i="30"/>
  <c r="H99" i="30"/>
  <c r="C100" i="17"/>
  <c r="D99" i="17"/>
  <c r="G64" i="28"/>
  <c r="C101" i="31" l="1"/>
  <c r="E100" i="31"/>
  <c r="D100" i="31"/>
  <c r="G100" i="31"/>
  <c r="F100" i="31"/>
  <c r="N40" i="31" a="1"/>
  <c r="N40" i="31" s="1"/>
  <c r="Q40" i="31" s="1"/>
  <c r="J41" i="30" a="1"/>
  <c r="J41" i="30" s="1"/>
  <c r="M41" i="30" s="1"/>
  <c r="H64" i="28"/>
  <c r="F41" i="17" s="1"/>
  <c r="K41" i="17" s="1"/>
  <c r="I64" i="28"/>
  <c r="G41" i="17" s="1"/>
  <c r="L41" i="17" s="1"/>
  <c r="J64" i="28"/>
  <c r="H41" i="17" s="1"/>
  <c r="M41" i="17" s="1"/>
  <c r="K46" i="29" a="1"/>
  <c r="K46" i="29" s="1"/>
  <c r="N46" i="29" s="1"/>
  <c r="Q46" i="29" s="1"/>
  <c r="C103" i="30"/>
  <c r="D102" i="30"/>
  <c r="G101" i="30"/>
  <c r="H100" i="30"/>
  <c r="D100" i="17"/>
  <c r="C101" i="17"/>
  <c r="G65" i="28"/>
  <c r="C102" i="31" l="1"/>
  <c r="D101" i="31"/>
  <c r="G101" i="31"/>
  <c r="F101" i="31"/>
  <c r="E101" i="31"/>
  <c r="J42" i="30" a="1"/>
  <c r="J42" i="30" s="1"/>
  <c r="M42" i="30" s="1"/>
  <c r="N41" i="31" a="1"/>
  <c r="N41" i="31" s="1"/>
  <c r="Q41" i="31" s="1"/>
  <c r="H65" i="28"/>
  <c r="F42" i="17" s="1"/>
  <c r="K42" i="17" s="1"/>
  <c r="I65" i="28"/>
  <c r="G42" i="17" s="1"/>
  <c r="L42" i="17" s="1"/>
  <c r="J65" i="28"/>
  <c r="H42" i="17" s="1"/>
  <c r="M42" i="17" s="1"/>
  <c r="K47" i="29" a="1"/>
  <c r="K47" i="29" s="1"/>
  <c r="N47" i="29" s="1"/>
  <c r="Q47" i="29" s="1"/>
  <c r="C104" i="30"/>
  <c r="D103" i="30"/>
  <c r="G102" i="30"/>
  <c r="H101" i="30"/>
  <c r="D101" i="17"/>
  <c r="C102" i="17"/>
  <c r="G66" i="28"/>
  <c r="C103" i="31" l="1"/>
  <c r="D102" i="31"/>
  <c r="G102" i="31"/>
  <c r="F102" i="31"/>
  <c r="E102" i="31"/>
  <c r="J43" i="30" a="1"/>
  <c r="J43" i="30" s="1"/>
  <c r="M43" i="30" s="1"/>
  <c r="N42" i="31" a="1"/>
  <c r="N42" i="31" s="1"/>
  <c r="Q42" i="31" s="1"/>
  <c r="H66" i="28"/>
  <c r="F43" i="17" s="1"/>
  <c r="K43" i="17" s="1"/>
  <c r="I66" i="28"/>
  <c r="G43" i="17" s="1"/>
  <c r="L43" i="17" s="1"/>
  <c r="J66" i="28"/>
  <c r="H43" i="17" s="1"/>
  <c r="M43" i="17" s="1"/>
  <c r="K48" i="29" a="1"/>
  <c r="K48" i="29" s="1"/>
  <c r="N48" i="29" s="1"/>
  <c r="Q48" i="29" s="1"/>
  <c r="C105" i="30"/>
  <c r="D104" i="30"/>
  <c r="G103" i="30"/>
  <c r="H102" i="30"/>
  <c r="C103" i="17"/>
  <c r="D102" i="17"/>
  <c r="G67" i="28"/>
  <c r="K49" i="29" l="1" a="1"/>
  <c r="K49" i="29" s="1"/>
  <c r="N49" i="29" s="1"/>
  <c r="Q49" i="29" s="1"/>
  <c r="C104" i="31"/>
  <c r="E103" i="31"/>
  <c r="D103" i="31"/>
  <c r="G103" i="31"/>
  <c r="F103" i="31"/>
  <c r="J44" i="30" a="1"/>
  <c r="J44" i="30" s="1"/>
  <c r="M44" i="30" s="1"/>
  <c r="N43" i="31" a="1"/>
  <c r="N43" i="31" s="1"/>
  <c r="Q43" i="31" s="1"/>
  <c r="J67" i="28"/>
  <c r="H44" i="17" s="1"/>
  <c r="M44" i="17" s="1"/>
  <c r="H67" i="28"/>
  <c r="F44" i="17" s="1"/>
  <c r="K44" i="17" s="1"/>
  <c r="I67" i="28"/>
  <c r="G44" i="17" s="1"/>
  <c r="L44" i="17" s="1"/>
  <c r="C106" i="30"/>
  <c r="D105" i="30"/>
  <c r="G104" i="30"/>
  <c r="H103" i="30"/>
  <c r="C104" i="17"/>
  <c r="D103" i="17"/>
  <c r="G68" i="28"/>
  <c r="C105" i="31" l="1"/>
  <c r="F104" i="31"/>
  <c r="D104" i="31"/>
  <c r="E104" i="31"/>
  <c r="G104" i="31"/>
  <c r="N44" i="31" a="1"/>
  <c r="N44" i="31" s="1"/>
  <c r="Q44" i="31" s="1"/>
  <c r="J45" i="30" a="1"/>
  <c r="J45" i="30" s="1"/>
  <c r="M45" i="30" s="1"/>
  <c r="H68" i="28"/>
  <c r="F45" i="17" s="1"/>
  <c r="K45" i="17" s="1"/>
  <c r="I68" i="28"/>
  <c r="G45" i="17" s="1"/>
  <c r="L45" i="17" s="1"/>
  <c r="J68" i="28"/>
  <c r="H45" i="17" s="1"/>
  <c r="M45" i="17" s="1"/>
  <c r="K50" i="29" a="1"/>
  <c r="K50" i="29" s="1"/>
  <c r="N50" i="29" s="1"/>
  <c r="Q50" i="29" s="1"/>
  <c r="C107" i="30"/>
  <c r="D106" i="30"/>
  <c r="G105" i="30"/>
  <c r="H104" i="30"/>
  <c r="D104" i="17"/>
  <c r="C105" i="17"/>
  <c r="G69" i="28"/>
  <c r="K51" i="29" l="1" a="1"/>
  <c r="K51" i="29" s="1"/>
  <c r="N51" i="29" s="1"/>
  <c r="Q51" i="29" s="1"/>
  <c r="C106" i="31"/>
  <c r="G105" i="31"/>
  <c r="D105" i="31"/>
  <c r="E105" i="31"/>
  <c r="F105" i="31"/>
  <c r="J46" i="30" a="1"/>
  <c r="J46" i="30" s="1"/>
  <c r="M46" i="30" s="1"/>
  <c r="N45" i="31" a="1"/>
  <c r="N45" i="31" s="1"/>
  <c r="Q45" i="31" s="1"/>
  <c r="H69" i="28"/>
  <c r="F46" i="17" s="1"/>
  <c r="K46" i="17" s="1"/>
  <c r="I69" i="28"/>
  <c r="G46" i="17" s="1"/>
  <c r="L46" i="17" s="1"/>
  <c r="J69" i="28"/>
  <c r="H46" i="17" s="1"/>
  <c r="M46" i="17" s="1"/>
  <c r="C108" i="30"/>
  <c r="D107" i="30"/>
  <c r="G106" i="30"/>
  <c r="H105" i="30"/>
  <c r="D105" i="17"/>
  <c r="C106" i="17"/>
  <c r="G70" i="28"/>
  <c r="C107" i="31" l="1"/>
  <c r="D106" i="31"/>
  <c r="E106" i="31"/>
  <c r="F106" i="31"/>
  <c r="G106" i="31"/>
  <c r="J47" i="30" a="1"/>
  <c r="J47" i="30" s="1"/>
  <c r="M47" i="30" s="1"/>
  <c r="N46" i="31" a="1"/>
  <c r="N46" i="31" s="1"/>
  <c r="Q46" i="31" s="1"/>
  <c r="H70" i="28"/>
  <c r="F47" i="17" s="1"/>
  <c r="K47" i="17" s="1"/>
  <c r="I70" i="28"/>
  <c r="G47" i="17" s="1"/>
  <c r="L47" i="17" s="1"/>
  <c r="J70" i="28"/>
  <c r="H47" i="17" s="1"/>
  <c r="M47" i="17" s="1"/>
  <c r="K52" i="29" a="1"/>
  <c r="K52" i="29" s="1"/>
  <c r="N52" i="29" s="1"/>
  <c r="Q52" i="29" s="1"/>
  <c r="C109" i="30"/>
  <c r="D108" i="30"/>
  <c r="G107" i="30"/>
  <c r="H106" i="30"/>
  <c r="C107" i="17"/>
  <c r="D106" i="17"/>
  <c r="G71" i="28"/>
  <c r="C108" i="31" l="1"/>
  <c r="E107" i="31"/>
  <c r="G107" i="31"/>
  <c r="D107" i="31"/>
  <c r="F107" i="31"/>
  <c r="J48" i="30" a="1"/>
  <c r="J48" i="30" s="1"/>
  <c r="M48" i="30" s="1"/>
  <c r="N47" i="31" a="1"/>
  <c r="N47" i="31" s="1"/>
  <c r="Q47" i="31" s="1"/>
  <c r="J71" i="28"/>
  <c r="H48" i="17" s="1"/>
  <c r="M48" i="17" s="1"/>
  <c r="H71" i="28"/>
  <c r="F48" i="17" s="1"/>
  <c r="K48" i="17" s="1"/>
  <c r="I71" i="28"/>
  <c r="G48" i="17" s="1"/>
  <c r="L48" i="17" s="1"/>
  <c r="K53" i="29" a="1"/>
  <c r="K53" i="29" s="1"/>
  <c r="N53" i="29" s="1"/>
  <c r="Q53" i="29" s="1"/>
  <c r="C110" i="30"/>
  <c r="D109" i="30"/>
  <c r="G108" i="30"/>
  <c r="H107" i="30"/>
  <c r="C108" i="17"/>
  <c r="D107" i="17"/>
  <c r="G72" i="28"/>
  <c r="C109" i="31" l="1"/>
  <c r="D108" i="31"/>
  <c r="F108" i="31"/>
  <c r="G108" i="31"/>
  <c r="E108" i="31"/>
  <c r="N48" i="31" a="1"/>
  <c r="N48" i="31" s="1"/>
  <c r="Q48" i="31" s="1"/>
  <c r="J49" i="30" a="1"/>
  <c r="J49" i="30" s="1"/>
  <c r="M49" i="30" s="1"/>
  <c r="H72" i="28"/>
  <c r="F49" i="17" s="1"/>
  <c r="K49" i="17" s="1"/>
  <c r="I72" i="28"/>
  <c r="G49" i="17" s="1"/>
  <c r="L49" i="17" s="1"/>
  <c r="J72" i="28"/>
  <c r="H49" i="17" s="1"/>
  <c r="M49" i="17" s="1"/>
  <c r="K54" i="29" a="1"/>
  <c r="K54" i="29" s="1"/>
  <c r="N54" i="29" s="1"/>
  <c r="Q54" i="29" s="1"/>
  <c r="C111" i="30"/>
  <c r="D110" i="30"/>
  <c r="G109" i="30"/>
  <c r="H108" i="30"/>
  <c r="D108" i="17"/>
  <c r="C109" i="17"/>
  <c r="G73" i="28"/>
  <c r="K55" i="29" l="1" a="1"/>
  <c r="K55" i="29" s="1"/>
  <c r="N55" i="29" s="1"/>
  <c r="Q55" i="29" s="1"/>
  <c r="C110" i="31"/>
  <c r="G109" i="31"/>
  <c r="F109" i="31"/>
  <c r="D109" i="31"/>
  <c r="E109" i="31"/>
  <c r="N49" i="31" a="1"/>
  <c r="N49" i="31" s="1"/>
  <c r="Q49" i="31" s="1"/>
  <c r="J50" i="30" a="1"/>
  <c r="J50" i="30" s="1"/>
  <c r="M50" i="30" s="1"/>
  <c r="H73" i="28"/>
  <c r="F50" i="17" s="1"/>
  <c r="K50" i="17" s="1"/>
  <c r="I73" i="28"/>
  <c r="G50" i="17" s="1"/>
  <c r="L50" i="17" s="1"/>
  <c r="J73" i="28"/>
  <c r="H50" i="17" s="1"/>
  <c r="M50" i="17" s="1"/>
  <c r="C112" i="30"/>
  <c r="D111" i="30"/>
  <c r="G110" i="30"/>
  <c r="H109" i="30"/>
  <c r="D109" i="17"/>
  <c r="C110" i="17"/>
  <c r="G74" i="28"/>
  <c r="C111" i="31" l="1"/>
  <c r="F110" i="31"/>
  <c r="G110" i="31"/>
  <c r="E110" i="31"/>
  <c r="D110" i="31"/>
  <c r="N50" i="31" a="1"/>
  <c r="N50" i="31" s="1"/>
  <c r="Q50" i="31" s="1"/>
  <c r="J51" i="30" a="1"/>
  <c r="J51" i="30" s="1"/>
  <c r="M51" i="30" s="1"/>
  <c r="H74" i="28"/>
  <c r="F51" i="17" s="1"/>
  <c r="K51" i="17" s="1"/>
  <c r="I74" i="28"/>
  <c r="G51" i="17" s="1"/>
  <c r="L51" i="17" s="1"/>
  <c r="J74" i="28"/>
  <c r="H51" i="17" s="1"/>
  <c r="M51" i="17" s="1"/>
  <c r="K56" i="29" a="1"/>
  <c r="K56" i="29" s="1"/>
  <c r="N56" i="29" s="1"/>
  <c r="Q56" i="29" s="1"/>
  <c r="C113" i="30"/>
  <c r="D112" i="30"/>
  <c r="G111" i="30"/>
  <c r="H110" i="30"/>
  <c r="C111" i="17"/>
  <c r="D110" i="17"/>
  <c r="G75" i="28"/>
  <c r="C112" i="31" l="1"/>
  <c r="D111" i="31"/>
  <c r="G111" i="31"/>
  <c r="E111" i="31"/>
  <c r="F111" i="31"/>
  <c r="N51" i="31" a="1"/>
  <c r="N51" i="31" s="1"/>
  <c r="Q51" i="31" s="1"/>
  <c r="J52" i="30" a="1"/>
  <c r="J52" i="30" s="1"/>
  <c r="M52" i="30" s="1"/>
  <c r="K57" i="29" a="1"/>
  <c r="K57" i="29" s="1"/>
  <c r="N57" i="29" s="1"/>
  <c r="Q57" i="29" s="1"/>
  <c r="J75" i="28"/>
  <c r="H52" i="17" s="1"/>
  <c r="M52" i="17" s="1"/>
  <c r="I75" i="28"/>
  <c r="G52" i="17" s="1"/>
  <c r="L52" i="17" s="1"/>
  <c r="H75" i="28"/>
  <c r="F52" i="17" s="1"/>
  <c r="K52" i="17" s="1"/>
  <c r="C114" i="30"/>
  <c r="D113" i="30"/>
  <c r="G112" i="30"/>
  <c r="H111" i="30"/>
  <c r="C112" i="17"/>
  <c r="D111" i="17"/>
  <c r="G76" i="28"/>
  <c r="C113" i="31" l="1"/>
  <c r="E112" i="31"/>
  <c r="F112" i="31"/>
  <c r="D112" i="31"/>
  <c r="G112" i="31"/>
  <c r="J53" i="30" a="1"/>
  <c r="J53" i="30" s="1"/>
  <c r="M53" i="30" s="1"/>
  <c r="N52" i="31" a="1"/>
  <c r="N52" i="31" s="1"/>
  <c r="Q52" i="31" s="1"/>
  <c r="H76" i="28"/>
  <c r="F53" i="17" s="1"/>
  <c r="K53" i="17" s="1"/>
  <c r="I76" i="28"/>
  <c r="G53" i="17" s="1"/>
  <c r="L53" i="17" s="1"/>
  <c r="J76" i="28"/>
  <c r="H53" i="17" s="1"/>
  <c r="M53" i="17" s="1"/>
  <c r="K58" i="29" a="1"/>
  <c r="K58" i="29" s="1"/>
  <c r="N58" i="29" s="1"/>
  <c r="Q58" i="29" s="1"/>
  <c r="C115" i="30"/>
  <c r="D114" i="30"/>
  <c r="G113" i="30"/>
  <c r="H112" i="30"/>
  <c r="D112" i="17"/>
  <c r="C113" i="17"/>
  <c r="G77" i="28"/>
  <c r="C114" i="31" l="1"/>
  <c r="F113" i="31"/>
  <c r="E113" i="31"/>
  <c r="G113" i="31"/>
  <c r="D113" i="31"/>
  <c r="J54" i="30" a="1"/>
  <c r="J54" i="30" s="1"/>
  <c r="M54" i="30" s="1"/>
  <c r="N53" i="31" a="1"/>
  <c r="N53" i="31" s="1"/>
  <c r="Q53" i="31" s="1"/>
  <c r="K59" i="29" a="1"/>
  <c r="K59" i="29" s="1"/>
  <c r="N59" i="29" s="1"/>
  <c r="Q59" i="29" s="1"/>
  <c r="H77" i="28"/>
  <c r="F54" i="17" s="1"/>
  <c r="K54" i="17" s="1"/>
  <c r="I77" i="28"/>
  <c r="G54" i="17" s="1"/>
  <c r="L54" i="17" s="1"/>
  <c r="J77" i="28"/>
  <c r="H54" i="17" s="1"/>
  <c r="M54" i="17" s="1"/>
  <c r="C116" i="30"/>
  <c r="D115" i="30"/>
  <c r="G114" i="30"/>
  <c r="H113" i="30"/>
  <c r="D113" i="17"/>
  <c r="C114" i="17"/>
  <c r="G78" i="28"/>
  <c r="C115" i="31" l="1"/>
  <c r="G114" i="31"/>
  <c r="E114" i="31"/>
  <c r="F114" i="31"/>
  <c r="D114" i="31"/>
  <c r="J55" i="30" a="1"/>
  <c r="J55" i="30" s="1"/>
  <c r="M55" i="30" s="1"/>
  <c r="N54" i="31" a="1"/>
  <c r="N54" i="31" s="1"/>
  <c r="Q54" i="31" s="1"/>
  <c r="H78" i="28"/>
  <c r="F55" i="17" s="1"/>
  <c r="K55" i="17" s="1"/>
  <c r="I78" i="28"/>
  <c r="G55" i="17" s="1"/>
  <c r="L55" i="17" s="1"/>
  <c r="J78" i="28"/>
  <c r="H55" i="17" s="1"/>
  <c r="M55" i="17" s="1"/>
  <c r="K60" i="29" a="1"/>
  <c r="K60" i="29" s="1"/>
  <c r="N60" i="29" s="1"/>
  <c r="Q60" i="29" s="1"/>
  <c r="C117" i="30"/>
  <c r="D116" i="30"/>
  <c r="G115" i="30"/>
  <c r="H114" i="30"/>
  <c r="C115" i="17"/>
  <c r="D114" i="17"/>
  <c r="G79" i="28"/>
  <c r="C116" i="31" l="1"/>
  <c r="G115" i="31"/>
  <c r="F115" i="31"/>
  <c r="E115" i="31"/>
  <c r="D115" i="31"/>
  <c r="J56" i="30" a="1"/>
  <c r="J56" i="30" s="1"/>
  <c r="M56" i="30" s="1"/>
  <c r="N55" i="31" a="1"/>
  <c r="N55" i="31" s="1"/>
  <c r="Q55" i="31" s="1"/>
  <c r="J79" i="28"/>
  <c r="H56" i="17" s="1"/>
  <c r="M56" i="17" s="1"/>
  <c r="H79" i="28"/>
  <c r="F56" i="17" s="1"/>
  <c r="K56" i="17" s="1"/>
  <c r="I79" i="28"/>
  <c r="G56" i="17" s="1"/>
  <c r="L56" i="17" s="1"/>
  <c r="K61" i="29" a="1"/>
  <c r="K61" i="29" s="1"/>
  <c r="N61" i="29" s="1"/>
  <c r="Q61" i="29" s="1"/>
  <c r="C118" i="30"/>
  <c r="D118" i="30" s="1"/>
  <c r="D117" i="30"/>
  <c r="G116" i="30"/>
  <c r="H115" i="30"/>
  <c r="C116" i="17"/>
  <c r="D115" i="17"/>
  <c r="G80" i="28"/>
  <c r="C117" i="31" l="1"/>
  <c r="F116" i="31"/>
  <c r="E116" i="31"/>
  <c r="G116" i="31"/>
  <c r="D116" i="31"/>
  <c r="N56" i="31" a="1"/>
  <c r="N56" i="31" s="1"/>
  <c r="Q56" i="31" s="1"/>
  <c r="J57" i="30" a="1"/>
  <c r="J57" i="30" s="1"/>
  <c r="M57" i="30" s="1"/>
  <c r="H80" i="28"/>
  <c r="F57" i="17" s="1"/>
  <c r="K57" i="17" s="1"/>
  <c r="I80" i="28"/>
  <c r="G57" i="17" s="1"/>
  <c r="L57" i="17" s="1"/>
  <c r="J80" i="28"/>
  <c r="H57" i="17" s="1"/>
  <c r="M57" i="17" s="1"/>
  <c r="K62" i="29" a="1"/>
  <c r="K62" i="29" s="1"/>
  <c r="N62" i="29" s="1"/>
  <c r="Q62" i="29" s="1"/>
  <c r="G117" i="30"/>
  <c r="H116" i="30"/>
  <c r="D116" i="17"/>
  <c r="C117" i="17"/>
  <c r="D117" i="17" s="1"/>
  <c r="K63" i="29" a="1"/>
  <c r="K63" i="29" s="1"/>
  <c r="N63" i="29" s="1"/>
  <c r="Q63" i="29" s="1"/>
  <c r="G81" i="28"/>
  <c r="G117" i="31" l="1"/>
  <c r="E117" i="31"/>
  <c r="D117" i="31"/>
  <c r="F117" i="31"/>
  <c r="N57" i="31" a="1"/>
  <c r="N57" i="31" s="1"/>
  <c r="Q57" i="31" s="1"/>
  <c r="J58" i="30" a="1"/>
  <c r="J58" i="30" s="1"/>
  <c r="M58" i="30" s="1"/>
  <c r="H81" i="28"/>
  <c r="F58" i="17" s="1"/>
  <c r="K58" i="17" s="1"/>
  <c r="I81" i="28"/>
  <c r="G58" i="17" s="1"/>
  <c r="L58" i="17" s="1"/>
  <c r="J81" i="28"/>
  <c r="H58" i="17" s="1"/>
  <c r="M58" i="17" s="1"/>
  <c r="G118" i="30"/>
  <c r="H118" i="30" s="1"/>
  <c r="H117" i="30"/>
  <c r="K64" i="29" a="1"/>
  <c r="K64" i="29" s="1"/>
  <c r="N64" i="29" s="1"/>
  <c r="Q64" i="29" s="1"/>
  <c r="G82" i="28"/>
  <c r="H82" i="28" l="1"/>
  <c r="F59" i="17" s="1"/>
  <c r="K59" i="17" s="1"/>
  <c r="I82" i="28"/>
  <c r="G59" i="17" s="1"/>
  <c r="L59" i="17" s="1"/>
  <c r="J82" i="28"/>
  <c r="H59" i="17" s="1"/>
  <c r="M59" i="17" s="1"/>
  <c r="N58" i="31" a="1"/>
  <c r="N58" i="31" s="1"/>
  <c r="Q58" i="31" s="1"/>
  <c r="J59" i="30" a="1"/>
  <c r="J59" i="30" s="1"/>
  <c r="M59" i="30" s="1"/>
  <c r="K65" i="29" a="1"/>
  <c r="K65" i="29" s="1"/>
  <c r="N65" i="29" s="1"/>
  <c r="Q65" i="29" s="1"/>
  <c r="G83" i="28"/>
  <c r="J83" i="28" l="1"/>
  <c r="H60" i="17" s="1"/>
  <c r="M60" i="17" s="1"/>
  <c r="H83" i="28"/>
  <c r="F60" i="17" s="1"/>
  <c r="K60" i="17" s="1"/>
  <c r="I83" i="28"/>
  <c r="G60" i="17" s="1"/>
  <c r="L60" i="17" s="1"/>
  <c r="N59" i="31" a="1"/>
  <c r="N59" i="31" s="1"/>
  <c r="Q59" i="31" s="1"/>
  <c r="J60" i="30" a="1"/>
  <c r="J60" i="30" s="1"/>
  <c r="M60" i="30" s="1"/>
  <c r="K66" i="29" a="1"/>
  <c r="K66" i="29" s="1"/>
  <c r="N66" i="29" s="1"/>
  <c r="Q66" i="29" s="1"/>
  <c r="G84" i="28"/>
  <c r="H84" i="28" l="1"/>
  <c r="F61" i="17" s="1"/>
  <c r="K61" i="17" s="1"/>
  <c r="I84" i="28"/>
  <c r="G61" i="17" s="1"/>
  <c r="L61" i="17" s="1"/>
  <c r="J84" i="28"/>
  <c r="H61" i="17" s="1"/>
  <c r="M61" i="17" s="1"/>
  <c r="N60" i="31" a="1"/>
  <c r="N60" i="31" s="1"/>
  <c r="Q60" i="31" s="1"/>
  <c r="J61" i="30" a="1"/>
  <c r="J61" i="30" s="1"/>
  <c r="M61" i="30" s="1"/>
  <c r="K67" i="29" a="1"/>
  <c r="K67" i="29" s="1"/>
  <c r="N67" i="29" s="1"/>
  <c r="Q67" i="29" s="1"/>
  <c r="G85" i="28"/>
  <c r="H85" i="28" l="1"/>
  <c r="F62" i="17" s="1"/>
  <c r="K62" i="17" s="1"/>
  <c r="I85" i="28"/>
  <c r="G62" i="17" s="1"/>
  <c r="L62" i="17" s="1"/>
  <c r="J85" i="28"/>
  <c r="H62" i="17" s="1"/>
  <c r="M62" i="17" s="1"/>
  <c r="N61" i="31" a="1"/>
  <c r="N61" i="31" s="1"/>
  <c r="Q61" i="31" s="1"/>
  <c r="J62" i="30" a="1"/>
  <c r="J62" i="30" s="1"/>
  <c r="M62" i="30" s="1"/>
  <c r="K68" i="29" a="1"/>
  <c r="K68" i="29" s="1"/>
  <c r="N68" i="29" s="1"/>
  <c r="Q68" i="29" s="1"/>
  <c r="G86" i="28"/>
  <c r="H86" i="28" l="1"/>
  <c r="F63" i="17" s="1"/>
  <c r="K63" i="17" s="1"/>
  <c r="I86" i="28"/>
  <c r="G63" i="17" s="1"/>
  <c r="L63" i="17" s="1"/>
  <c r="J86" i="28"/>
  <c r="H63" i="17" s="1"/>
  <c r="M63" i="17" s="1"/>
  <c r="N62" i="31" a="1"/>
  <c r="N62" i="31" s="1"/>
  <c r="Q62" i="31" s="1"/>
  <c r="J63" i="30" a="1"/>
  <c r="J63" i="30" s="1"/>
  <c r="M63" i="30" s="1"/>
  <c r="K69" i="29" a="1"/>
  <c r="K69" i="29" s="1"/>
  <c r="N69" i="29" s="1"/>
  <c r="Q69" i="29" s="1"/>
  <c r="G87" i="28"/>
  <c r="J87" i="28" l="1"/>
  <c r="H64" i="17" s="1"/>
  <c r="M64" i="17" s="1"/>
  <c r="H87" i="28"/>
  <c r="F64" i="17" s="1"/>
  <c r="K64" i="17" s="1"/>
  <c r="I87" i="28"/>
  <c r="G64" i="17" s="1"/>
  <c r="L64" i="17" s="1"/>
  <c r="N63" i="31" a="1"/>
  <c r="N63" i="31" s="1"/>
  <c r="Q63" i="31" s="1"/>
  <c r="J64" i="30" a="1"/>
  <c r="J64" i="30" s="1"/>
  <c r="M64" i="30" s="1"/>
  <c r="K70" i="29" a="1"/>
  <c r="K70" i="29" s="1"/>
  <c r="N70" i="29" s="1"/>
  <c r="Q70" i="29" s="1"/>
  <c r="G88" i="28"/>
  <c r="H88" i="28" l="1"/>
  <c r="F65" i="17" s="1"/>
  <c r="K65" i="17" s="1"/>
  <c r="I88" i="28"/>
  <c r="G65" i="17" s="1"/>
  <c r="L65" i="17" s="1"/>
  <c r="J88" i="28"/>
  <c r="H65" i="17" s="1"/>
  <c r="M65" i="17" s="1"/>
  <c r="N64" i="31" a="1"/>
  <c r="N64" i="31" s="1"/>
  <c r="Q64" i="31" s="1"/>
  <c r="J65" i="30" a="1"/>
  <c r="J65" i="30" s="1"/>
  <c r="M65" i="30" s="1"/>
  <c r="K71" i="29" a="1"/>
  <c r="K71" i="29" s="1"/>
  <c r="N71" i="29" s="1"/>
  <c r="Q71" i="29" s="1"/>
  <c r="G89" i="28"/>
  <c r="H89" i="28" l="1"/>
  <c r="F66" i="17" s="1"/>
  <c r="K66" i="17" s="1"/>
  <c r="I89" i="28"/>
  <c r="G66" i="17" s="1"/>
  <c r="L66" i="17" s="1"/>
  <c r="J89" i="28"/>
  <c r="H66" i="17" s="1"/>
  <c r="M66" i="17" s="1"/>
  <c r="N65" i="31" a="1"/>
  <c r="N65" i="31" s="1"/>
  <c r="Q65" i="31" s="1"/>
  <c r="J66" i="30" a="1"/>
  <c r="J66" i="30" s="1"/>
  <c r="M66" i="30" s="1"/>
  <c r="K72" i="29" a="1"/>
  <c r="K72" i="29" s="1"/>
  <c r="N72" i="29" s="1"/>
  <c r="Q72" i="29" s="1"/>
  <c r="N66" i="31" l="1" a="1"/>
  <c r="N66" i="31" s="1"/>
  <c r="Q66" i="31" s="1"/>
  <c r="J67" i="30" a="1"/>
  <c r="J67" i="30" s="1"/>
  <c r="M67" i="30" s="1"/>
  <c r="C17" i="21"/>
  <c r="C5" i="27"/>
  <c r="G24" i="27"/>
  <c r="H24" i="27" s="1"/>
  <c r="G25" i="27"/>
  <c r="H25" i="27" s="1"/>
  <c r="G26" i="27"/>
  <c r="H26" i="27" s="1"/>
  <c r="G27" i="27"/>
  <c r="H27" i="27" s="1"/>
  <c r="G28" i="27"/>
  <c r="H28" i="27" s="1"/>
  <c r="G29" i="27"/>
  <c r="H29" i="27" s="1"/>
  <c r="G30" i="27"/>
  <c r="H30" i="27" s="1"/>
  <c r="G31" i="27"/>
  <c r="H31" i="27" s="1"/>
  <c r="G32" i="27"/>
  <c r="H32" i="27" s="1"/>
  <c r="G33" i="27"/>
  <c r="H33" i="27" s="1"/>
  <c r="G34" i="27"/>
  <c r="K42" i="27" s="1"/>
  <c r="K43" i="27" s="1"/>
  <c r="K44" i="27" s="1"/>
  <c r="K45" i="27" s="1"/>
  <c r="K46" i="27" s="1"/>
  <c r="K47" i="27" s="1"/>
  <c r="K48" i="27" s="1"/>
  <c r="K49" i="27" s="1"/>
  <c r="K50" i="27" s="1"/>
  <c r="M24" i="27"/>
  <c r="N24" i="27" s="1"/>
  <c r="M25" i="27"/>
  <c r="M26" i="27"/>
  <c r="N26" i="27" s="1"/>
  <c r="M27" i="27"/>
  <c r="N27" i="27" s="1"/>
  <c r="M28" i="27"/>
  <c r="N28" i="27" s="1"/>
  <c r="M29" i="27"/>
  <c r="N29" i="27" s="1"/>
  <c r="M30" i="27"/>
  <c r="N30" i="27" s="1"/>
  <c r="M31" i="27"/>
  <c r="N31" i="27" s="1"/>
  <c r="M32" i="27"/>
  <c r="N32" i="27" s="1"/>
  <c r="M33" i="27"/>
  <c r="N33" i="27" s="1"/>
  <c r="M34" i="27"/>
  <c r="N34" i="27" s="1"/>
  <c r="E13" i="13"/>
  <c r="E14" i="13"/>
  <c r="E15" i="13"/>
  <c r="E16" i="13"/>
  <c r="E17" i="13"/>
  <c r="E18" i="13"/>
  <c r="E19" i="13"/>
  <c r="E20" i="13"/>
  <c r="E21" i="13"/>
  <c r="E22" i="13"/>
  <c r="E23" i="13"/>
  <c r="E29" i="13" s="1"/>
  <c r="E30" i="13" s="1"/>
  <c r="E31" i="13" s="1"/>
  <c r="E32" i="13" s="1"/>
  <c r="E33" i="13" s="1"/>
  <c r="E34" i="13" s="1"/>
  <c r="E35" i="13" s="1"/>
  <c r="E36" i="13" s="1"/>
  <c r="E37" i="13" s="1"/>
  <c r="E38" i="13" s="1"/>
  <c r="E39" i="13" s="1"/>
  <c r="E40" i="13" s="1"/>
  <c r="E41" i="13" s="1"/>
  <c r="E42" i="13" s="1"/>
  <c r="E43" i="13" s="1"/>
  <c r="E44" i="13" s="1"/>
  <c r="E45" i="13" s="1"/>
  <c r="E46" i="13" s="1"/>
  <c r="E47" i="13" s="1"/>
  <c r="E48" i="13" s="1"/>
  <c r="E49" i="13" s="1"/>
  <c r="E50" i="13" s="1"/>
  <c r="E51" i="13" s="1"/>
  <c r="E52" i="13" s="1"/>
  <c r="E53" i="13" s="1"/>
  <c r="E54" i="13" s="1"/>
  <c r="E55" i="13" s="1"/>
  <c r="E56" i="13" s="1"/>
  <c r="E57" i="13" s="1"/>
  <c r="E58" i="13" s="1"/>
  <c r="E59" i="13" s="1"/>
  <c r="E60" i="13" s="1"/>
  <c r="E61" i="13" s="1"/>
  <c r="E62" i="13" s="1"/>
  <c r="E63" i="13" s="1"/>
  <c r="E64" i="13" s="1"/>
  <c r="E65" i="13" s="1"/>
  <c r="E66" i="13" s="1"/>
  <c r="E67" i="13" s="1"/>
  <c r="E68" i="13" s="1"/>
  <c r="E69" i="13" s="1"/>
  <c r="E70" i="13" s="1"/>
  <c r="E71" i="13" s="1"/>
  <c r="E72" i="13" s="1"/>
  <c r="E73" i="13" s="1"/>
  <c r="D14" i="13"/>
  <c r="D15" i="13"/>
  <c r="D16" i="13"/>
  <c r="D17" i="13"/>
  <c r="D18" i="13"/>
  <c r="D19" i="13"/>
  <c r="D20" i="13"/>
  <c r="D21" i="13"/>
  <c r="D22" i="13"/>
  <c r="D23" i="13"/>
  <c r="D29" i="13" s="1"/>
  <c r="C42" i="21" s="1" a="1"/>
  <c r="C42" i="21" s="1"/>
  <c r="D13" i="13"/>
  <c r="H24" i="21"/>
  <c r="K24" i="21" s="1"/>
  <c r="C16" i="21"/>
  <c r="C15" i="21"/>
  <c r="K81" i="21"/>
  <c r="K51" i="21"/>
  <c r="H34" i="21"/>
  <c r="K34" i="21" s="1"/>
  <c r="H33" i="21"/>
  <c r="K33" i="21" s="1"/>
  <c r="H32" i="21"/>
  <c r="K32" i="21" s="1"/>
  <c r="H31" i="21"/>
  <c r="K31" i="21" s="1"/>
  <c r="H30" i="21"/>
  <c r="K30" i="21" s="1"/>
  <c r="H29" i="21"/>
  <c r="K29" i="21" s="1"/>
  <c r="H28" i="21"/>
  <c r="K28" i="21" s="1"/>
  <c r="H27" i="21"/>
  <c r="K27" i="21" s="1"/>
  <c r="H26" i="21"/>
  <c r="K26" i="21" s="1"/>
  <c r="H25" i="21"/>
  <c r="K25" i="21" s="1"/>
  <c r="D6" i="14"/>
  <c r="D11" i="8"/>
  <c r="N51" i="21" l="1"/>
  <c r="D51" i="21" s="1"/>
  <c r="C29" i="17" a="1"/>
  <c r="C29" i="17" s="1"/>
  <c r="C30" i="30" a="1"/>
  <c r="C30" i="30" s="1"/>
  <c r="C29" i="31" a="1"/>
  <c r="C29" i="31" s="1"/>
  <c r="K83" i="21"/>
  <c r="N83" i="21" s="1"/>
  <c r="K86" i="21"/>
  <c r="N86" i="21" s="1"/>
  <c r="K84" i="21"/>
  <c r="N84" i="21" s="1"/>
  <c r="K85" i="21"/>
  <c r="N85" i="21" s="1"/>
  <c r="K82" i="21"/>
  <c r="N82" i="21" s="1"/>
  <c r="I32" i="21"/>
  <c r="I30" i="21"/>
  <c r="K52" i="21"/>
  <c r="N52" i="21" s="1"/>
  <c r="D52" i="21" s="1"/>
  <c r="K51" i="27"/>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K76" i="27" s="1"/>
  <c r="K77" i="27" s="1"/>
  <c r="K78" i="27" s="1"/>
  <c r="K79" i="27" s="1"/>
  <c r="K80" i="27" s="1"/>
  <c r="L42" i="27"/>
  <c r="H34" i="27"/>
  <c r="M35" i="27"/>
  <c r="N35" i="27" s="1"/>
  <c r="N25" i="27"/>
  <c r="I31" i="21"/>
  <c r="I29" i="21"/>
  <c r="I28" i="21"/>
  <c r="I27" i="21"/>
  <c r="I26" i="21"/>
  <c r="I25" i="21"/>
  <c r="K35" i="21"/>
  <c r="I24" i="21"/>
  <c r="I34" i="21"/>
  <c r="I33" i="21"/>
  <c r="D24" i="21"/>
  <c r="D30" i="13"/>
  <c r="C43" i="21" s="1" a="1"/>
  <c r="C43" i="21" s="1"/>
  <c r="N81" i="21"/>
  <c r="D81" i="21" s="1"/>
  <c r="D12" i="7"/>
  <c r="D83" i="21" l="1"/>
  <c r="F83" i="21" s="1"/>
  <c r="D86" i="21"/>
  <c r="D82" i="21"/>
  <c r="F82" i="21" s="1"/>
  <c r="D85" i="21"/>
  <c r="F85" i="21" s="1"/>
  <c r="D84" i="21"/>
  <c r="F84" i="21" s="1"/>
  <c r="C30" i="31" a="1"/>
  <c r="C30" i="31" s="1"/>
  <c r="C30" i="17" a="1"/>
  <c r="C30" i="17" s="1"/>
  <c r="C31" i="30" a="1"/>
  <c r="C31" i="30" s="1"/>
  <c r="K53" i="21"/>
  <c r="L43" i="27"/>
  <c r="D31" i="13"/>
  <c r="C44" i="21" s="1" a="1"/>
  <c r="C44" i="21" s="1"/>
  <c r="I35" i="21"/>
  <c r="F26" i="21"/>
  <c r="D26" i="21"/>
  <c r="F25" i="21"/>
  <c r="D25" i="21"/>
  <c r="F24" i="21"/>
  <c r="F30" i="21"/>
  <c r="D30" i="21"/>
  <c r="D29" i="21"/>
  <c r="F29" i="21"/>
  <c r="F34" i="21"/>
  <c r="D34" i="21"/>
  <c r="F32" i="21"/>
  <c r="D32" i="21"/>
  <c r="F33" i="21"/>
  <c r="D33" i="21"/>
  <c r="F28" i="21"/>
  <c r="D28" i="21"/>
  <c r="F27" i="21"/>
  <c r="D27" i="21"/>
  <c r="D31" i="21"/>
  <c r="F31" i="21"/>
  <c r="D5" i="31" l="1"/>
  <c r="C79" i="31" s="1"/>
  <c r="D5" i="17"/>
  <c r="C79" i="17" s="1"/>
  <c r="K42" i="21"/>
  <c r="N42" i="21" s="1"/>
  <c r="D5" i="30"/>
  <c r="F86" i="21"/>
  <c r="D32" i="13"/>
  <c r="C45" i="21" s="1" a="1"/>
  <c r="C45" i="21" s="1"/>
  <c r="C31" i="17" a="1"/>
  <c r="C31" i="17" s="1"/>
  <c r="C31" i="31" a="1"/>
  <c r="C31" i="31" s="1"/>
  <c r="C32" i="30" a="1"/>
  <c r="C32" i="30" s="1"/>
  <c r="F52" i="21"/>
  <c r="L44" i="27"/>
  <c r="D42" i="21" l="1"/>
  <c r="F42" i="21" s="1"/>
  <c r="G42" i="21" s="1"/>
  <c r="G80" i="30"/>
  <c r="C80" i="30"/>
  <c r="D79" i="17"/>
  <c r="C80" i="17"/>
  <c r="E79" i="31"/>
  <c r="H29" i="31" s="1"/>
  <c r="I29" i="31" s="1"/>
  <c r="D79" i="31"/>
  <c r="F29" i="31" s="1"/>
  <c r="G29" i="31" s="1"/>
  <c r="C80" i="31"/>
  <c r="G79" i="31"/>
  <c r="L29" i="31" s="1"/>
  <c r="M29" i="31" s="1"/>
  <c r="F79" i="31"/>
  <c r="J29" i="31" s="1"/>
  <c r="K29" i="31" s="1"/>
  <c r="D29" i="31"/>
  <c r="E29" i="31" s="1"/>
  <c r="D33" i="13"/>
  <c r="C46" i="21" s="1" a="1"/>
  <c r="C46" i="21" s="1"/>
  <c r="C32" i="17" a="1"/>
  <c r="C32" i="17" s="1"/>
  <c r="C32" i="31" a="1"/>
  <c r="C32" i="31" s="1"/>
  <c r="C33" i="30" a="1"/>
  <c r="C33" i="30" s="1"/>
  <c r="L45" i="27"/>
  <c r="K43" i="21"/>
  <c r="N43" i="21" s="1"/>
  <c r="D43" i="21" s="1"/>
  <c r="C81" i="31" l="1"/>
  <c r="F80" i="31"/>
  <c r="J30" i="31" s="1"/>
  <c r="K30" i="31" s="1"/>
  <c r="D80" i="31"/>
  <c r="F30" i="31" s="1"/>
  <c r="G30" i="31" s="1"/>
  <c r="E80" i="31"/>
  <c r="H30" i="31" s="1"/>
  <c r="I30" i="31" s="1"/>
  <c r="G80" i="31"/>
  <c r="L30" i="31" s="1"/>
  <c r="M30" i="31" s="1"/>
  <c r="D30" i="31"/>
  <c r="E30" i="31" s="1"/>
  <c r="D80" i="17"/>
  <c r="C81" i="17"/>
  <c r="D29" i="17"/>
  <c r="E29" i="17" s="1"/>
  <c r="D80" i="30"/>
  <c r="D30" i="30" s="1"/>
  <c r="E30" i="30" s="1"/>
  <c r="C81" i="30"/>
  <c r="G81" i="30"/>
  <c r="H80" i="30"/>
  <c r="H30" i="30" s="1"/>
  <c r="I30" i="30" s="1"/>
  <c r="D34" i="13"/>
  <c r="C47" i="21" s="1" a="1"/>
  <c r="C47" i="21" s="1"/>
  <c r="C33" i="17" a="1"/>
  <c r="C33" i="17" s="1"/>
  <c r="C34" i="30" a="1"/>
  <c r="C34" i="30" s="1"/>
  <c r="C33" i="31" a="1"/>
  <c r="C33" i="31" s="1"/>
  <c r="D42" i="27"/>
  <c r="D35" i="29" s="1"/>
  <c r="E42" i="21"/>
  <c r="L46" i="27"/>
  <c r="K44" i="21"/>
  <c r="G82" i="30" l="1"/>
  <c r="H81" i="30"/>
  <c r="H31" i="30" s="1"/>
  <c r="I31" i="30" s="1"/>
  <c r="D81" i="30"/>
  <c r="D31" i="30" s="1"/>
  <c r="E31" i="30" s="1"/>
  <c r="C82" i="30"/>
  <c r="D81" i="17"/>
  <c r="D31" i="17" s="1"/>
  <c r="E31" i="17" s="1"/>
  <c r="C82" i="17"/>
  <c r="D30" i="17"/>
  <c r="E30" i="17" s="1"/>
  <c r="D81" i="31"/>
  <c r="F31" i="31" s="1"/>
  <c r="G31" i="31" s="1"/>
  <c r="F81" i="31"/>
  <c r="J31" i="31" s="1"/>
  <c r="K31" i="31" s="1"/>
  <c r="E81" i="31"/>
  <c r="H31" i="31" s="1"/>
  <c r="I31" i="31" s="1"/>
  <c r="G81" i="31"/>
  <c r="L31" i="31" s="1"/>
  <c r="M31" i="31" s="1"/>
  <c r="C82" i="31"/>
  <c r="D31" i="31"/>
  <c r="E31" i="31" s="1"/>
  <c r="C42" i="27"/>
  <c r="G42" i="27" s="1"/>
  <c r="E42" i="27" s="1"/>
  <c r="C35" i="29"/>
  <c r="D35" i="13"/>
  <c r="C48" i="21" s="1" a="1"/>
  <c r="C48" i="21" s="1"/>
  <c r="C34" i="17" a="1"/>
  <c r="C34" i="17" s="1"/>
  <c r="C35" i="30" a="1"/>
  <c r="C35" i="30" s="1"/>
  <c r="C34" i="31" a="1"/>
  <c r="C34" i="31" s="1"/>
  <c r="N44" i="21"/>
  <c r="D44" i="21" s="1"/>
  <c r="K45" i="21"/>
  <c r="N45" i="21" s="1"/>
  <c r="D45" i="21" s="1"/>
  <c r="L47" i="27"/>
  <c r="C83" i="31" l="1"/>
  <c r="F82" i="31"/>
  <c r="J32" i="31" s="1"/>
  <c r="K32" i="31" s="1"/>
  <c r="D82" i="31"/>
  <c r="F32" i="31" s="1"/>
  <c r="G32" i="31" s="1"/>
  <c r="E82" i="31"/>
  <c r="H32" i="31" s="1"/>
  <c r="I32" i="31" s="1"/>
  <c r="G82" i="31"/>
  <c r="L32" i="31" s="1"/>
  <c r="M32" i="31" s="1"/>
  <c r="D32" i="31"/>
  <c r="E32" i="31" s="1"/>
  <c r="C83" i="17"/>
  <c r="D82" i="17"/>
  <c r="D32" i="17" s="1"/>
  <c r="E32" i="17" s="1"/>
  <c r="D82" i="30"/>
  <c r="D32" i="30" s="1"/>
  <c r="E32" i="30" s="1"/>
  <c r="C83" i="30"/>
  <c r="G83" i="30"/>
  <c r="H82" i="30"/>
  <c r="H32" i="30" s="1"/>
  <c r="I32" i="30" s="1"/>
  <c r="F42" i="27"/>
  <c r="H35" i="29" s="1"/>
  <c r="D36" i="13"/>
  <c r="C49" i="21" s="1" a="1"/>
  <c r="C49" i="21" s="1"/>
  <c r="C35" i="17" a="1"/>
  <c r="C35" i="17" s="1"/>
  <c r="C35" i="31" a="1"/>
  <c r="C35" i="31" s="1"/>
  <c r="C36" i="30" a="1"/>
  <c r="C36" i="30" s="1"/>
  <c r="E35" i="29"/>
  <c r="F35" i="29" s="1"/>
  <c r="H42" i="27"/>
  <c r="G35" i="29"/>
  <c r="L48" i="27"/>
  <c r="K46" i="21"/>
  <c r="N46" i="21" s="1"/>
  <c r="D46" i="21" s="1"/>
  <c r="C84" i="30" l="1"/>
  <c r="D83" i="30"/>
  <c r="D33" i="30" s="1"/>
  <c r="E33" i="30" s="1"/>
  <c r="C84" i="17"/>
  <c r="D83" i="17"/>
  <c r="D33" i="17" s="1"/>
  <c r="E33" i="17" s="1"/>
  <c r="G84" i="30"/>
  <c r="H83" i="30"/>
  <c r="H33" i="30" s="1"/>
  <c r="I33" i="30" s="1"/>
  <c r="C84" i="31"/>
  <c r="E83" i="31"/>
  <c r="H33" i="31" s="1"/>
  <c r="I33" i="31" s="1"/>
  <c r="F83" i="31"/>
  <c r="J33" i="31" s="1"/>
  <c r="K33" i="31" s="1"/>
  <c r="D83" i="31"/>
  <c r="F33" i="31" s="1"/>
  <c r="G33" i="31" s="1"/>
  <c r="G83" i="31"/>
  <c r="L33" i="31" s="1"/>
  <c r="M33" i="31" s="1"/>
  <c r="D33" i="31"/>
  <c r="E33" i="31" s="1"/>
  <c r="R35" i="29"/>
  <c r="T35" i="29" s="1"/>
  <c r="U35" i="29" s="1"/>
  <c r="D37" i="13"/>
  <c r="C50" i="21" s="1" a="1"/>
  <c r="C50" i="21" s="1"/>
  <c r="C36" i="17" a="1"/>
  <c r="C36" i="17" s="1"/>
  <c r="C36" i="31" a="1"/>
  <c r="C36" i="31" s="1"/>
  <c r="C37" i="30" a="1"/>
  <c r="C37" i="30" s="1"/>
  <c r="I35" i="29"/>
  <c r="L49" i="27"/>
  <c r="K47" i="21"/>
  <c r="N47" i="21" s="1"/>
  <c r="D47" i="21" s="1"/>
  <c r="D84" i="31" l="1"/>
  <c r="F34" i="31" s="1"/>
  <c r="G34" i="31" s="1"/>
  <c r="G84" i="31"/>
  <c r="L34" i="31" s="1"/>
  <c r="M34" i="31" s="1"/>
  <c r="E84" i="31"/>
  <c r="H34" i="31" s="1"/>
  <c r="I34" i="31" s="1"/>
  <c r="C85" i="31"/>
  <c r="F84" i="31"/>
  <c r="J34" i="31" s="1"/>
  <c r="K34" i="31" s="1"/>
  <c r="D34" i="31"/>
  <c r="E34" i="31" s="1"/>
  <c r="G85" i="30"/>
  <c r="H84" i="30"/>
  <c r="H34" i="30" s="1"/>
  <c r="I34" i="30" s="1"/>
  <c r="D84" i="17"/>
  <c r="D34" i="17" s="1"/>
  <c r="E34" i="17" s="1"/>
  <c r="C85" i="17"/>
  <c r="C85" i="30"/>
  <c r="D84" i="30"/>
  <c r="D34" i="30" s="1"/>
  <c r="E34" i="30" s="1"/>
  <c r="D38" i="13"/>
  <c r="C51" i="21" s="1" a="1"/>
  <c r="C51" i="21" s="1"/>
  <c r="C37" i="17" a="1"/>
  <c r="C37" i="17" s="1"/>
  <c r="C37" i="31" a="1"/>
  <c r="C37" i="31" s="1"/>
  <c r="C38" i="30" a="1"/>
  <c r="C38" i="30" s="1"/>
  <c r="V35" i="29"/>
  <c r="Z35" i="29" s="1"/>
  <c r="AB35" i="29" s="1"/>
  <c r="S35" i="29"/>
  <c r="W35" i="29" s="1"/>
  <c r="X35" i="29" s="1"/>
  <c r="J35" i="29"/>
  <c r="L50" i="27"/>
  <c r="K48" i="21"/>
  <c r="N48" i="21" s="1"/>
  <c r="D48" i="21" s="1"/>
  <c r="C86" i="17" l="1"/>
  <c r="D85" i="17"/>
  <c r="D35" i="17" s="1"/>
  <c r="E35" i="17" s="1"/>
  <c r="G86" i="30"/>
  <c r="H85" i="30"/>
  <c r="H35" i="30" s="1"/>
  <c r="I35" i="30" s="1"/>
  <c r="C86" i="31"/>
  <c r="E85" i="31"/>
  <c r="H35" i="31" s="1"/>
  <c r="I35" i="31" s="1"/>
  <c r="F85" i="31"/>
  <c r="J35" i="31" s="1"/>
  <c r="K35" i="31" s="1"/>
  <c r="D85" i="31"/>
  <c r="F35" i="31" s="1"/>
  <c r="G35" i="31" s="1"/>
  <c r="G85" i="31"/>
  <c r="L35" i="31" s="1"/>
  <c r="M35" i="31" s="1"/>
  <c r="D35" i="31"/>
  <c r="E35" i="31" s="1"/>
  <c r="D85" i="30"/>
  <c r="D35" i="30" s="1"/>
  <c r="E35" i="30" s="1"/>
  <c r="C86" i="30"/>
  <c r="D39" i="13"/>
  <c r="C52" i="21" s="1" a="1"/>
  <c r="C52" i="21" s="1"/>
  <c r="C38" i="17" a="1"/>
  <c r="C38" i="17" s="1"/>
  <c r="C38" i="31" a="1"/>
  <c r="C38" i="31" s="1"/>
  <c r="C39" i="30" a="1"/>
  <c r="C39" i="30" s="1"/>
  <c r="L51" i="27"/>
  <c r="K49" i="21"/>
  <c r="F86" i="31" l="1"/>
  <c r="J36" i="31" s="1"/>
  <c r="K36" i="31" s="1"/>
  <c r="E86" i="31"/>
  <c r="H36" i="31" s="1"/>
  <c r="I36" i="31" s="1"/>
  <c r="D86" i="31"/>
  <c r="F36" i="31" s="1"/>
  <c r="G36" i="31" s="1"/>
  <c r="C87" i="31"/>
  <c r="G86" i="31"/>
  <c r="L36" i="31" s="1"/>
  <c r="M36" i="31" s="1"/>
  <c r="D36" i="31"/>
  <c r="E36" i="31" s="1"/>
  <c r="C87" i="30"/>
  <c r="D86" i="30"/>
  <c r="D36" i="30" s="1"/>
  <c r="E36" i="30" s="1"/>
  <c r="H86" i="30"/>
  <c r="H36" i="30" s="1"/>
  <c r="I36" i="30" s="1"/>
  <c r="G87" i="30"/>
  <c r="C87" i="17"/>
  <c r="D87" i="17" s="1"/>
  <c r="D37" i="17" s="1"/>
  <c r="E37" i="17" s="1"/>
  <c r="D86" i="17"/>
  <c r="D36" i="17" s="1"/>
  <c r="E36" i="17" s="1"/>
  <c r="H38" i="31"/>
  <c r="I38" i="31" s="1"/>
  <c r="J38" i="31"/>
  <c r="K38" i="31" s="1"/>
  <c r="L38" i="31"/>
  <c r="M38" i="31" s="1"/>
  <c r="D38" i="31"/>
  <c r="E38" i="31" s="1"/>
  <c r="F38" i="31"/>
  <c r="G38" i="31" s="1"/>
  <c r="D39" i="30"/>
  <c r="E39" i="30" s="1"/>
  <c r="H39" i="30"/>
  <c r="I39" i="30" s="1"/>
  <c r="D38" i="17"/>
  <c r="E38" i="17" s="1"/>
  <c r="D40" i="13"/>
  <c r="C53" i="21" s="1" a="1"/>
  <c r="C53" i="21" s="1"/>
  <c r="C39" i="17" a="1"/>
  <c r="C39" i="17" s="1"/>
  <c r="C39" i="31" a="1"/>
  <c r="C39" i="31" s="1"/>
  <c r="C40" i="30" a="1"/>
  <c r="C40" i="30" s="1"/>
  <c r="Y35" i="29"/>
  <c r="L52" i="27"/>
  <c r="N49" i="21"/>
  <c r="D49" i="21" s="1"/>
  <c r="K50" i="21"/>
  <c r="N50" i="21" s="1"/>
  <c r="D50" i="21" s="1"/>
  <c r="C88" i="30" l="1"/>
  <c r="D88" i="30" s="1"/>
  <c r="D38" i="30" s="1"/>
  <c r="E38" i="30" s="1"/>
  <c r="D87" i="30"/>
  <c r="D37" i="30" s="1"/>
  <c r="E37" i="30" s="1"/>
  <c r="H87" i="30"/>
  <c r="H37" i="30" s="1"/>
  <c r="I37" i="30" s="1"/>
  <c r="G88" i="30"/>
  <c r="H88" i="30" s="1"/>
  <c r="H38" i="30" s="1"/>
  <c r="I38" i="30" s="1"/>
  <c r="G87" i="31"/>
  <c r="L37" i="31" s="1"/>
  <c r="M37" i="31" s="1"/>
  <c r="E87" i="31"/>
  <c r="H37" i="31" s="1"/>
  <c r="I37" i="31" s="1"/>
  <c r="F87" i="31"/>
  <c r="J37" i="31" s="1"/>
  <c r="K37" i="31" s="1"/>
  <c r="D87" i="31"/>
  <c r="F37" i="31" s="1"/>
  <c r="G37" i="31" s="1"/>
  <c r="D37" i="31"/>
  <c r="E37" i="31" s="1"/>
  <c r="J39" i="31"/>
  <c r="K39" i="31" s="1"/>
  <c r="L39" i="31"/>
  <c r="M39" i="31" s="1"/>
  <c r="H39" i="31"/>
  <c r="I39" i="31" s="1"/>
  <c r="F39" i="31"/>
  <c r="G39" i="31" s="1"/>
  <c r="D39" i="31"/>
  <c r="E39" i="31" s="1"/>
  <c r="H40" i="30"/>
  <c r="I40" i="30" s="1"/>
  <c r="D40" i="30"/>
  <c r="E40" i="30" s="1"/>
  <c r="D39" i="17"/>
  <c r="E39" i="17" s="1"/>
  <c r="D41" i="13"/>
  <c r="C54" i="21" s="1" a="1"/>
  <c r="C54" i="21" s="1"/>
  <c r="C40" i="31" a="1"/>
  <c r="C40" i="31" s="1"/>
  <c r="C40" i="17" a="1"/>
  <c r="C40" i="17" s="1"/>
  <c r="C41" i="30" a="1"/>
  <c r="C41" i="30" s="1"/>
  <c r="AA35" i="29"/>
  <c r="AC35" i="29" s="1"/>
  <c r="L53" i="27"/>
  <c r="H40" i="31" l="1"/>
  <c r="I40" i="31" s="1"/>
  <c r="J40" i="31"/>
  <c r="K40" i="31" s="1"/>
  <c r="L40" i="31"/>
  <c r="M40" i="31" s="1"/>
  <c r="D40" i="31"/>
  <c r="E40" i="31" s="1"/>
  <c r="F40" i="31"/>
  <c r="G40" i="31" s="1"/>
  <c r="H41" i="30"/>
  <c r="I41" i="30" s="1"/>
  <c r="D41" i="30"/>
  <c r="E41" i="30" s="1"/>
  <c r="D40" i="17"/>
  <c r="E40" i="17" s="1"/>
  <c r="D42" i="13"/>
  <c r="C55" i="21" s="1" a="1"/>
  <c r="C55" i="21" s="1"/>
  <c r="C41" i="31" a="1"/>
  <c r="C41" i="31" s="1"/>
  <c r="C41" i="17" a="1"/>
  <c r="C41" i="17" s="1"/>
  <c r="C42" i="30" a="1"/>
  <c r="C42" i="30" s="1"/>
  <c r="L54" i="27"/>
  <c r="L41" i="31" l="1"/>
  <c r="M41" i="31" s="1"/>
  <c r="H41" i="31"/>
  <c r="I41" i="31" s="1"/>
  <c r="J41" i="31"/>
  <c r="K41" i="31" s="1"/>
  <c r="D41" i="31"/>
  <c r="E41" i="31" s="1"/>
  <c r="F41" i="31"/>
  <c r="G41" i="31" s="1"/>
  <c r="D42" i="30"/>
  <c r="E42" i="30" s="1"/>
  <c r="H42" i="30"/>
  <c r="I42" i="30" s="1"/>
  <c r="D41" i="17"/>
  <c r="E41" i="17" s="1"/>
  <c r="D43" i="13"/>
  <c r="C56" i="21" s="1" a="1"/>
  <c r="C56" i="21" s="1"/>
  <c r="C42" i="17" a="1"/>
  <c r="C42" i="17" s="1"/>
  <c r="C42" i="31" a="1"/>
  <c r="C42" i="31" s="1"/>
  <c r="C43" i="30" a="1"/>
  <c r="C43" i="30" s="1"/>
  <c r="L55" i="27"/>
  <c r="H42" i="31" l="1"/>
  <c r="I42" i="31" s="1"/>
  <c r="J42" i="31"/>
  <c r="K42" i="31" s="1"/>
  <c r="L42" i="31"/>
  <c r="M42" i="31" s="1"/>
  <c r="D42" i="31"/>
  <c r="E42" i="31" s="1"/>
  <c r="F42" i="31"/>
  <c r="G42" i="31" s="1"/>
  <c r="D43" i="30"/>
  <c r="E43" i="30" s="1"/>
  <c r="H43" i="30"/>
  <c r="I43" i="30" s="1"/>
  <c r="D42" i="17"/>
  <c r="E42" i="17" s="1"/>
  <c r="D44" i="13"/>
  <c r="C57" i="21" s="1" a="1"/>
  <c r="C57" i="21" s="1"/>
  <c r="C43" i="17" a="1"/>
  <c r="C43" i="17" s="1"/>
  <c r="C43" i="31" a="1"/>
  <c r="C43" i="31" s="1"/>
  <c r="C44" i="30" a="1"/>
  <c r="C44" i="30" s="1"/>
  <c r="L56" i="27"/>
  <c r="L43" i="31" l="1"/>
  <c r="M43" i="31" s="1"/>
  <c r="H43" i="31"/>
  <c r="I43" i="31" s="1"/>
  <c r="J43" i="31"/>
  <c r="K43" i="31" s="1"/>
  <c r="D43" i="31"/>
  <c r="E43" i="31" s="1"/>
  <c r="F43" i="31"/>
  <c r="G43" i="31" s="1"/>
  <c r="H44" i="30"/>
  <c r="I44" i="30" s="1"/>
  <c r="D44" i="30"/>
  <c r="E44" i="30" s="1"/>
  <c r="D43" i="17"/>
  <c r="E43" i="17" s="1"/>
  <c r="D45" i="13"/>
  <c r="C58" i="21" s="1" a="1"/>
  <c r="C58" i="21" s="1"/>
  <c r="C44" i="31" a="1"/>
  <c r="C44" i="31" s="1"/>
  <c r="C44" i="17" a="1"/>
  <c r="C44" i="17" s="1"/>
  <c r="C45" i="30" a="1"/>
  <c r="C45" i="30" s="1"/>
  <c r="L57" i="27"/>
  <c r="H44" i="31" l="1"/>
  <c r="I44" i="31" s="1"/>
  <c r="J44" i="31"/>
  <c r="K44" i="31" s="1"/>
  <c r="L44" i="31"/>
  <c r="M44" i="31" s="1"/>
  <c r="D44" i="31"/>
  <c r="E44" i="31" s="1"/>
  <c r="F44" i="31"/>
  <c r="G44" i="31" s="1"/>
  <c r="D45" i="30"/>
  <c r="E45" i="30" s="1"/>
  <c r="H45" i="30"/>
  <c r="I45" i="30" s="1"/>
  <c r="D44" i="17"/>
  <c r="E44" i="17" s="1"/>
  <c r="D46" i="13"/>
  <c r="C59" i="21" s="1" a="1"/>
  <c r="C59" i="21" s="1"/>
  <c r="C45" i="31" a="1"/>
  <c r="C45" i="31" s="1"/>
  <c r="C45" i="17" a="1"/>
  <c r="C45" i="17" s="1"/>
  <c r="C46" i="30" a="1"/>
  <c r="C46" i="30" s="1"/>
  <c r="L58" i="27"/>
  <c r="H45" i="31" l="1"/>
  <c r="I45" i="31" s="1"/>
  <c r="J45" i="31"/>
  <c r="K45" i="31" s="1"/>
  <c r="L45" i="31"/>
  <c r="M45" i="31" s="1"/>
  <c r="D45" i="31"/>
  <c r="E45" i="31" s="1"/>
  <c r="F45" i="31"/>
  <c r="G45" i="31" s="1"/>
  <c r="D46" i="30"/>
  <c r="E46" i="30" s="1"/>
  <c r="H46" i="30"/>
  <c r="I46" i="30" s="1"/>
  <c r="D45" i="17"/>
  <c r="E45" i="17" s="1"/>
  <c r="D47" i="13"/>
  <c r="C60" i="21" s="1" a="1"/>
  <c r="C60" i="21" s="1"/>
  <c r="C46" i="17" a="1"/>
  <c r="C46" i="17" s="1"/>
  <c r="C46" i="31" a="1"/>
  <c r="C46" i="31" s="1"/>
  <c r="C47" i="30" a="1"/>
  <c r="C47" i="30" s="1"/>
  <c r="L59" i="27"/>
  <c r="H46" i="31" l="1"/>
  <c r="I46" i="31" s="1"/>
  <c r="J46" i="31"/>
  <c r="K46" i="31" s="1"/>
  <c r="L46" i="31"/>
  <c r="M46" i="31" s="1"/>
  <c r="D46" i="31"/>
  <c r="E46" i="31" s="1"/>
  <c r="F46" i="31"/>
  <c r="G46" i="31" s="1"/>
  <c r="H47" i="30"/>
  <c r="I47" i="30" s="1"/>
  <c r="D47" i="30"/>
  <c r="E47" i="30" s="1"/>
  <c r="D46" i="17"/>
  <c r="E46" i="17" s="1"/>
  <c r="D48" i="13"/>
  <c r="C61" i="21" s="1" a="1"/>
  <c r="C61" i="21" s="1"/>
  <c r="C47" i="17" a="1"/>
  <c r="C47" i="17" s="1"/>
  <c r="C47" i="31" a="1"/>
  <c r="C47" i="31" s="1"/>
  <c r="C48" i="30" a="1"/>
  <c r="C48" i="30" s="1"/>
  <c r="L60" i="27"/>
  <c r="F47" i="31" l="1"/>
  <c r="G47" i="31" s="1"/>
  <c r="H47" i="31"/>
  <c r="I47" i="31" s="1"/>
  <c r="J47" i="31"/>
  <c r="K47" i="31" s="1"/>
  <c r="L47" i="31"/>
  <c r="M47" i="31" s="1"/>
  <c r="D47" i="31"/>
  <c r="E47" i="31" s="1"/>
  <c r="D48" i="30"/>
  <c r="E48" i="30" s="1"/>
  <c r="H48" i="30"/>
  <c r="I48" i="30" s="1"/>
  <c r="D47" i="17"/>
  <c r="E47" i="17" s="1"/>
  <c r="D49" i="13"/>
  <c r="C62" i="21" s="1" a="1"/>
  <c r="C62" i="21" s="1"/>
  <c r="C48" i="31" a="1"/>
  <c r="C48" i="31" s="1"/>
  <c r="C48" i="17" a="1"/>
  <c r="C48" i="17" s="1"/>
  <c r="C49" i="30" a="1"/>
  <c r="C49" i="30" s="1"/>
  <c r="L61" i="27"/>
  <c r="H48" i="31" l="1"/>
  <c r="I48" i="31" s="1"/>
  <c r="J48" i="31"/>
  <c r="K48" i="31" s="1"/>
  <c r="L48" i="31"/>
  <c r="M48" i="31" s="1"/>
  <c r="D48" i="31"/>
  <c r="E48" i="31" s="1"/>
  <c r="F48" i="31"/>
  <c r="G48" i="31" s="1"/>
  <c r="D49" i="30"/>
  <c r="E49" i="30" s="1"/>
  <c r="H49" i="30"/>
  <c r="I49" i="30" s="1"/>
  <c r="D48" i="17"/>
  <c r="E48" i="17" s="1"/>
  <c r="D50" i="13"/>
  <c r="C63" i="21" s="1" a="1"/>
  <c r="C63" i="21" s="1"/>
  <c r="C49" i="31" a="1"/>
  <c r="C49" i="31" s="1"/>
  <c r="C49" i="17" a="1"/>
  <c r="C49" i="17" s="1"/>
  <c r="C50" i="30" a="1"/>
  <c r="C50" i="30" s="1"/>
  <c r="L62" i="27"/>
  <c r="H49" i="31" l="1"/>
  <c r="I49" i="31" s="1"/>
  <c r="J49" i="31"/>
  <c r="K49" i="31" s="1"/>
  <c r="L49" i="31"/>
  <c r="M49" i="31" s="1"/>
  <c r="D49" i="31"/>
  <c r="E49" i="31" s="1"/>
  <c r="F49" i="31"/>
  <c r="G49" i="31" s="1"/>
  <c r="H50" i="30"/>
  <c r="I50" i="30" s="1"/>
  <c r="D50" i="30"/>
  <c r="E50" i="30" s="1"/>
  <c r="D49" i="17"/>
  <c r="E49" i="17" s="1"/>
  <c r="D51" i="13"/>
  <c r="C64" i="21" s="1" a="1"/>
  <c r="C64" i="21" s="1"/>
  <c r="C50" i="31" a="1"/>
  <c r="C50" i="31" s="1"/>
  <c r="C50" i="17" a="1"/>
  <c r="C50" i="17" s="1"/>
  <c r="C51" i="30" a="1"/>
  <c r="C51" i="30" s="1"/>
  <c r="L63" i="27"/>
  <c r="J50" i="31" l="1"/>
  <c r="K50" i="31" s="1"/>
  <c r="L50" i="31"/>
  <c r="M50" i="31" s="1"/>
  <c r="H50" i="31"/>
  <c r="I50" i="31" s="1"/>
  <c r="D50" i="31"/>
  <c r="E50" i="31" s="1"/>
  <c r="F50" i="31"/>
  <c r="G50" i="31" s="1"/>
  <c r="H51" i="30"/>
  <c r="I51" i="30" s="1"/>
  <c r="D51" i="30"/>
  <c r="E51" i="30" s="1"/>
  <c r="D50" i="17"/>
  <c r="E50" i="17" s="1"/>
  <c r="D52" i="13"/>
  <c r="C65" i="21" s="1" a="1"/>
  <c r="C65" i="21" s="1"/>
  <c r="C51" i="17" a="1"/>
  <c r="C51" i="17" s="1"/>
  <c r="C52" i="30" a="1"/>
  <c r="C52" i="30" s="1"/>
  <c r="C51" i="31" a="1"/>
  <c r="C51" i="31" s="1"/>
  <c r="L64" i="27"/>
  <c r="H51" i="31" l="1"/>
  <c r="I51" i="31" s="1"/>
  <c r="J51" i="31"/>
  <c r="K51" i="31" s="1"/>
  <c r="L51" i="31"/>
  <c r="M51" i="31" s="1"/>
  <c r="D51" i="31"/>
  <c r="E51" i="31" s="1"/>
  <c r="F51" i="31"/>
  <c r="G51" i="31" s="1"/>
  <c r="D52" i="30"/>
  <c r="E52" i="30" s="1"/>
  <c r="H52" i="30"/>
  <c r="I52" i="30" s="1"/>
  <c r="D51" i="17"/>
  <c r="E51" i="17" s="1"/>
  <c r="D53" i="13"/>
  <c r="C66" i="21" s="1" a="1"/>
  <c r="C66" i="21" s="1"/>
  <c r="C52" i="17" a="1"/>
  <c r="C52" i="17" s="1"/>
  <c r="C53" i="30" a="1"/>
  <c r="C53" i="30" s="1"/>
  <c r="C52" i="31" a="1"/>
  <c r="C52" i="31" s="1"/>
  <c r="L65" i="27"/>
  <c r="J52" i="31" l="1"/>
  <c r="K52" i="31" s="1"/>
  <c r="L52" i="31"/>
  <c r="M52" i="31" s="1"/>
  <c r="H52" i="31"/>
  <c r="I52" i="31" s="1"/>
  <c r="D52" i="31"/>
  <c r="E52" i="31" s="1"/>
  <c r="F52" i="31"/>
  <c r="G52" i="31" s="1"/>
  <c r="H53" i="30"/>
  <c r="I53" i="30" s="1"/>
  <c r="D53" i="30"/>
  <c r="E53" i="30" s="1"/>
  <c r="D52" i="17"/>
  <c r="E52" i="17" s="1"/>
  <c r="D54" i="13"/>
  <c r="C67" i="21" s="1" a="1"/>
  <c r="C67" i="21" s="1"/>
  <c r="C53" i="31" a="1"/>
  <c r="C53" i="31" s="1"/>
  <c r="C53" i="17" a="1"/>
  <c r="C53" i="17" s="1"/>
  <c r="C54" i="30" a="1"/>
  <c r="C54" i="30" s="1"/>
  <c r="L66" i="27"/>
  <c r="H53" i="31" l="1"/>
  <c r="I53" i="31" s="1"/>
  <c r="J53" i="31"/>
  <c r="K53" i="31" s="1"/>
  <c r="L53" i="31"/>
  <c r="M53" i="31" s="1"/>
  <c r="D53" i="31"/>
  <c r="E53" i="31" s="1"/>
  <c r="F53" i="31"/>
  <c r="G53" i="31" s="1"/>
  <c r="H54" i="30"/>
  <c r="I54" i="30" s="1"/>
  <c r="D54" i="30"/>
  <c r="E54" i="30" s="1"/>
  <c r="D53" i="17"/>
  <c r="E53" i="17" s="1"/>
  <c r="D55" i="13"/>
  <c r="C68" i="21" s="1" a="1"/>
  <c r="C68" i="21" s="1"/>
  <c r="C54" i="31" a="1"/>
  <c r="C54" i="31" s="1"/>
  <c r="C54" i="17" a="1"/>
  <c r="C54" i="17" s="1"/>
  <c r="C55" i="30" a="1"/>
  <c r="C55" i="30" s="1"/>
  <c r="L67" i="27"/>
  <c r="J54" i="31" l="1"/>
  <c r="K54" i="31" s="1"/>
  <c r="L54" i="31"/>
  <c r="M54" i="31" s="1"/>
  <c r="H54" i="31"/>
  <c r="I54" i="31" s="1"/>
  <c r="D54" i="31"/>
  <c r="E54" i="31" s="1"/>
  <c r="F54" i="31"/>
  <c r="G54" i="31" s="1"/>
  <c r="D55" i="30"/>
  <c r="E55" i="30" s="1"/>
  <c r="H55" i="30"/>
  <c r="I55" i="30" s="1"/>
  <c r="D54" i="17"/>
  <c r="E54" i="17" s="1"/>
  <c r="D56" i="13"/>
  <c r="C69" i="21" s="1" a="1"/>
  <c r="C69" i="21" s="1"/>
  <c r="C55" i="17" a="1"/>
  <c r="C55" i="17" s="1"/>
  <c r="C55" i="31" a="1"/>
  <c r="C55" i="31" s="1"/>
  <c r="C56" i="30" a="1"/>
  <c r="C56" i="30" s="1"/>
  <c r="L68" i="27"/>
  <c r="H55" i="31" l="1"/>
  <c r="I55" i="31" s="1"/>
  <c r="J55" i="31"/>
  <c r="K55" i="31" s="1"/>
  <c r="L55" i="31"/>
  <c r="M55" i="31" s="1"/>
  <c r="D55" i="31"/>
  <c r="E55" i="31" s="1"/>
  <c r="F55" i="31"/>
  <c r="G55" i="31" s="1"/>
  <c r="D56" i="30"/>
  <c r="E56" i="30" s="1"/>
  <c r="H56" i="30"/>
  <c r="I56" i="30" s="1"/>
  <c r="D55" i="17"/>
  <c r="E55" i="17" s="1"/>
  <c r="D57" i="13"/>
  <c r="C70" i="21" s="1" a="1"/>
  <c r="C70" i="21" s="1"/>
  <c r="C56" i="17" a="1"/>
  <c r="C56" i="17" s="1"/>
  <c r="C57" i="30" a="1"/>
  <c r="C57" i="30" s="1"/>
  <c r="C56" i="31" a="1"/>
  <c r="C56" i="31" s="1"/>
  <c r="L69" i="27"/>
  <c r="L56" i="31" l="1"/>
  <c r="M56" i="31" s="1"/>
  <c r="H56" i="31"/>
  <c r="I56" i="31" s="1"/>
  <c r="J56" i="31"/>
  <c r="K56" i="31" s="1"/>
  <c r="D56" i="31"/>
  <c r="E56" i="31" s="1"/>
  <c r="F56" i="31"/>
  <c r="G56" i="31" s="1"/>
  <c r="H57" i="30"/>
  <c r="I57" i="30" s="1"/>
  <c r="D57" i="30"/>
  <c r="E57" i="30" s="1"/>
  <c r="D56" i="17"/>
  <c r="E56" i="17" s="1"/>
  <c r="D58" i="13"/>
  <c r="C71" i="21" s="1" a="1"/>
  <c r="C71" i="21" s="1"/>
  <c r="C57" i="17" a="1"/>
  <c r="C57" i="17" s="1"/>
  <c r="C57" i="31" a="1"/>
  <c r="C57" i="31" s="1"/>
  <c r="C58" i="30" a="1"/>
  <c r="C58" i="30" s="1"/>
  <c r="L70" i="27"/>
  <c r="H57" i="31" l="1"/>
  <c r="I57" i="31" s="1"/>
  <c r="J57" i="31"/>
  <c r="K57" i="31" s="1"/>
  <c r="L57" i="31"/>
  <c r="M57" i="31" s="1"/>
  <c r="D57" i="31"/>
  <c r="E57" i="31" s="1"/>
  <c r="F57" i="31"/>
  <c r="G57" i="31" s="1"/>
  <c r="D58" i="30"/>
  <c r="E58" i="30" s="1"/>
  <c r="H58" i="30"/>
  <c r="I58" i="30" s="1"/>
  <c r="D57" i="17"/>
  <c r="E57" i="17" s="1"/>
  <c r="D59" i="13"/>
  <c r="C72" i="21" s="1" a="1"/>
  <c r="C72" i="21" s="1"/>
  <c r="C58" i="17" a="1"/>
  <c r="C58" i="17" s="1"/>
  <c r="C58" i="31" a="1"/>
  <c r="C58" i="31" s="1"/>
  <c r="C59" i="30" a="1"/>
  <c r="C59" i="30" s="1"/>
  <c r="L71" i="27"/>
  <c r="L58" i="31" l="1"/>
  <c r="M58" i="31" s="1"/>
  <c r="H58" i="31"/>
  <c r="I58" i="31" s="1"/>
  <c r="J58" i="31"/>
  <c r="K58" i="31" s="1"/>
  <c r="D58" i="31"/>
  <c r="E58" i="31" s="1"/>
  <c r="F58" i="31"/>
  <c r="G58" i="31" s="1"/>
  <c r="H59" i="30"/>
  <c r="I59" i="30" s="1"/>
  <c r="D59" i="30"/>
  <c r="E59" i="30" s="1"/>
  <c r="D58" i="17"/>
  <c r="E58" i="17" s="1"/>
  <c r="D60" i="13"/>
  <c r="C73" i="21" s="1" a="1"/>
  <c r="C73" i="21" s="1"/>
  <c r="C59" i="17" a="1"/>
  <c r="C59" i="17" s="1"/>
  <c r="C59" i="31" a="1"/>
  <c r="C59" i="31" s="1"/>
  <c r="C60" i="30" a="1"/>
  <c r="C60" i="30" s="1"/>
  <c r="L72" i="27"/>
  <c r="H59" i="31" l="1"/>
  <c r="I59" i="31" s="1"/>
  <c r="J59" i="31"/>
  <c r="K59" i="31" s="1"/>
  <c r="L59" i="31"/>
  <c r="M59" i="31" s="1"/>
  <c r="D59" i="31"/>
  <c r="E59" i="31" s="1"/>
  <c r="F59" i="31"/>
  <c r="G59" i="31" s="1"/>
  <c r="H60" i="30"/>
  <c r="I60" i="30" s="1"/>
  <c r="D60" i="30"/>
  <c r="E60" i="30" s="1"/>
  <c r="D59" i="17"/>
  <c r="E59" i="17" s="1"/>
  <c r="D61" i="13"/>
  <c r="C74" i="21" s="1" a="1"/>
  <c r="C74" i="21" s="1"/>
  <c r="C60" i="17" a="1"/>
  <c r="C60" i="17" s="1"/>
  <c r="C61" i="30" a="1"/>
  <c r="C61" i="30" s="1"/>
  <c r="C60" i="31" a="1"/>
  <c r="C60" i="31" s="1"/>
  <c r="L73" i="27"/>
  <c r="H60" i="31" l="1"/>
  <c r="I60" i="31" s="1"/>
  <c r="J60" i="31"/>
  <c r="K60" i="31" s="1"/>
  <c r="L60" i="31"/>
  <c r="M60" i="31" s="1"/>
  <c r="D60" i="31"/>
  <c r="E60" i="31" s="1"/>
  <c r="F60" i="31"/>
  <c r="G60" i="31" s="1"/>
  <c r="D61" i="30"/>
  <c r="E61" i="30" s="1"/>
  <c r="H61" i="30"/>
  <c r="I61" i="30" s="1"/>
  <c r="D60" i="17"/>
  <c r="E60" i="17" s="1"/>
  <c r="D62" i="13"/>
  <c r="C75" i="21" s="1" a="1"/>
  <c r="C75" i="21" s="1"/>
  <c r="C61" i="31" a="1"/>
  <c r="C61" i="31" s="1"/>
  <c r="C61" i="17" a="1"/>
  <c r="C61" i="17" s="1"/>
  <c r="C62" i="30" a="1"/>
  <c r="C62" i="30" s="1"/>
  <c r="L74" i="27"/>
  <c r="H61" i="31" l="1"/>
  <c r="I61" i="31" s="1"/>
  <c r="J61" i="31"/>
  <c r="K61" i="31" s="1"/>
  <c r="L61" i="31"/>
  <c r="M61" i="31" s="1"/>
  <c r="D61" i="31"/>
  <c r="E61" i="31" s="1"/>
  <c r="F61" i="31"/>
  <c r="G61" i="31" s="1"/>
  <c r="D62" i="30"/>
  <c r="E62" i="30" s="1"/>
  <c r="H62" i="30"/>
  <c r="I62" i="30" s="1"/>
  <c r="D61" i="17"/>
  <c r="E61" i="17" s="1"/>
  <c r="D63" i="13"/>
  <c r="C76" i="21" s="1" a="1"/>
  <c r="C76" i="21" s="1"/>
  <c r="C62" i="31" a="1"/>
  <c r="C62" i="31" s="1"/>
  <c r="C62" i="17" a="1"/>
  <c r="C62" i="17" s="1"/>
  <c r="C63" i="30" a="1"/>
  <c r="C63" i="30" s="1"/>
  <c r="L75" i="27"/>
  <c r="H62" i="31" l="1"/>
  <c r="I62" i="31" s="1"/>
  <c r="J62" i="31"/>
  <c r="K62" i="31" s="1"/>
  <c r="L62" i="31"/>
  <c r="M62" i="31" s="1"/>
  <c r="D62" i="31"/>
  <c r="E62" i="31" s="1"/>
  <c r="F62" i="31"/>
  <c r="G62" i="31" s="1"/>
  <c r="H63" i="30"/>
  <c r="I63" i="30" s="1"/>
  <c r="D63" i="30"/>
  <c r="E63" i="30" s="1"/>
  <c r="D62" i="17"/>
  <c r="E62" i="17" s="1"/>
  <c r="D64" i="13"/>
  <c r="C77" i="21" s="1" a="1"/>
  <c r="C77" i="21" s="1"/>
  <c r="C63" i="31" a="1"/>
  <c r="C63" i="31" s="1"/>
  <c r="C63" i="17" a="1"/>
  <c r="C63" i="17" s="1"/>
  <c r="C64" i="30" a="1"/>
  <c r="C64" i="30" s="1"/>
  <c r="L76" i="27"/>
  <c r="H63" i="31" l="1"/>
  <c r="I63" i="31" s="1"/>
  <c r="J63" i="31"/>
  <c r="K63" i="31" s="1"/>
  <c r="L63" i="31"/>
  <c r="M63" i="31" s="1"/>
  <c r="D63" i="31"/>
  <c r="E63" i="31" s="1"/>
  <c r="F63" i="31"/>
  <c r="G63" i="31" s="1"/>
  <c r="D64" i="30"/>
  <c r="E64" i="30" s="1"/>
  <c r="H64" i="30"/>
  <c r="I64" i="30" s="1"/>
  <c r="D63" i="17"/>
  <c r="E63" i="17" s="1"/>
  <c r="D65" i="13"/>
  <c r="C78" i="21" s="1" a="1"/>
  <c r="C78" i="21" s="1"/>
  <c r="C64" i="31" a="1"/>
  <c r="C64" i="31" s="1"/>
  <c r="C64" i="17" a="1"/>
  <c r="C64" i="17" s="1"/>
  <c r="C65" i="30" a="1"/>
  <c r="C65" i="30" s="1"/>
  <c r="L77" i="27"/>
  <c r="H64" i="31" l="1"/>
  <c r="I64" i="31" s="1"/>
  <c r="J64" i="31"/>
  <c r="K64" i="31" s="1"/>
  <c r="L64" i="31"/>
  <c r="M64" i="31" s="1"/>
  <c r="D64" i="31"/>
  <c r="E64" i="31" s="1"/>
  <c r="F64" i="31"/>
  <c r="G64" i="31" s="1"/>
  <c r="D65" i="30"/>
  <c r="E65" i="30" s="1"/>
  <c r="H65" i="30"/>
  <c r="I65" i="30" s="1"/>
  <c r="D64" i="17"/>
  <c r="E64" i="17" s="1"/>
  <c r="D66" i="13"/>
  <c r="C79" i="21" s="1" a="1"/>
  <c r="C79" i="21" s="1"/>
  <c r="C65" i="17" a="1"/>
  <c r="C65" i="17" s="1"/>
  <c r="C66" i="30" a="1"/>
  <c r="C66" i="30" s="1"/>
  <c r="C65" i="31" a="1"/>
  <c r="C65" i="31" s="1"/>
  <c r="L78" i="27"/>
  <c r="H65" i="31" l="1"/>
  <c r="I65" i="31" s="1"/>
  <c r="J65" i="31"/>
  <c r="K65" i="31" s="1"/>
  <c r="L65" i="31"/>
  <c r="M65" i="31" s="1"/>
  <c r="D65" i="31"/>
  <c r="E65" i="31" s="1"/>
  <c r="F65" i="31"/>
  <c r="G65" i="31" s="1"/>
  <c r="H66" i="30"/>
  <c r="I66" i="30" s="1"/>
  <c r="D66" i="30"/>
  <c r="E66" i="30" s="1"/>
  <c r="D65" i="17"/>
  <c r="E65" i="17" s="1"/>
  <c r="D67" i="13"/>
  <c r="C80" i="21" s="1" a="1"/>
  <c r="C80" i="21" s="1"/>
  <c r="C66" i="31" a="1"/>
  <c r="C66" i="31" s="1"/>
  <c r="C66" i="17" a="1"/>
  <c r="C66" i="17" s="1"/>
  <c r="C67" i="30" a="1"/>
  <c r="C67" i="30" s="1"/>
  <c r="L80" i="27"/>
  <c r="L79" i="27"/>
  <c r="H66" i="31" l="1"/>
  <c r="I66" i="31" s="1"/>
  <c r="J66" i="31"/>
  <c r="K66" i="31" s="1"/>
  <c r="L66" i="31"/>
  <c r="M66" i="31" s="1"/>
  <c r="D66" i="31"/>
  <c r="E66" i="31" s="1"/>
  <c r="F66" i="31"/>
  <c r="G66" i="31" s="1"/>
  <c r="H67" i="30"/>
  <c r="I67" i="30" s="1"/>
  <c r="D67" i="30"/>
  <c r="E67" i="30" s="1"/>
  <c r="D66" i="17"/>
  <c r="E66" i="17" s="1"/>
  <c r="D68" i="13"/>
  <c r="C81" i="21" s="1" a="1"/>
  <c r="C81" i="21" s="1"/>
  <c r="C67" i="17" a="1"/>
  <c r="C67" i="17" s="1"/>
  <c r="C67" i="31" a="1"/>
  <c r="C67" i="31" s="1"/>
  <c r="C68" i="30" a="1"/>
  <c r="C68" i="30" s="1"/>
  <c r="F51" i="21"/>
  <c r="J67" i="31" l="1"/>
  <c r="K67" i="31" s="1"/>
  <c r="L67" i="31"/>
  <c r="M67" i="31" s="1"/>
  <c r="H67" i="31"/>
  <c r="I67" i="31" s="1"/>
  <c r="D67" i="31"/>
  <c r="E67" i="31" s="1"/>
  <c r="F67" i="31"/>
  <c r="G67" i="31" s="1"/>
  <c r="D68" i="30"/>
  <c r="E68" i="30" s="1"/>
  <c r="H68" i="30"/>
  <c r="I68" i="30" s="1"/>
  <c r="D67" i="17"/>
  <c r="E67" i="17" s="1"/>
  <c r="D69" i="13"/>
  <c r="C82" i="21" s="1" a="1"/>
  <c r="C82" i="21" s="1"/>
  <c r="C68" i="17" a="1"/>
  <c r="C68" i="17" s="1"/>
  <c r="C68" i="31" a="1"/>
  <c r="C68" i="31" s="1"/>
  <c r="C69" i="30" a="1"/>
  <c r="C69" i="30" s="1"/>
  <c r="E51" i="21"/>
  <c r="C44" i="29" s="1"/>
  <c r="F43" i="21"/>
  <c r="G82" i="21" l="1"/>
  <c r="D82" i="27" s="1"/>
  <c r="D75" i="29" s="1"/>
  <c r="E82" i="21"/>
  <c r="H68" i="31"/>
  <c r="I68" i="31" s="1"/>
  <c r="J68" i="31"/>
  <c r="K68" i="31" s="1"/>
  <c r="L68" i="31"/>
  <c r="M68" i="31" s="1"/>
  <c r="D68" i="31"/>
  <c r="E68" i="31" s="1"/>
  <c r="F68" i="31"/>
  <c r="G68" i="31" s="1"/>
  <c r="H69" i="30"/>
  <c r="I69" i="30" s="1"/>
  <c r="D69" i="30"/>
  <c r="E69" i="30" s="1"/>
  <c r="F69" i="30"/>
  <c r="G69" i="30" s="1"/>
  <c r="D68" i="17"/>
  <c r="E68" i="17" s="1"/>
  <c r="D70" i="13"/>
  <c r="C83" i="21" s="1" a="1"/>
  <c r="C83" i="21" s="1"/>
  <c r="C69" i="17" a="1"/>
  <c r="C69" i="17" s="1"/>
  <c r="C70" i="30" a="1"/>
  <c r="C70" i="30" s="1"/>
  <c r="C69" i="31" a="1"/>
  <c r="C69" i="31" s="1"/>
  <c r="C51" i="27"/>
  <c r="G51" i="27" s="1"/>
  <c r="E43" i="21"/>
  <c r="C36" i="29" s="1"/>
  <c r="F44" i="21"/>
  <c r="E83" i="21" l="1"/>
  <c r="G83" i="21"/>
  <c r="D83" i="27" s="1"/>
  <c r="D76" i="29" s="1"/>
  <c r="C75" i="29"/>
  <c r="E75" i="29" s="1"/>
  <c r="F75" i="29" s="1"/>
  <c r="R75" i="29" s="1"/>
  <c r="T75" i="29" s="1"/>
  <c r="H82" i="21"/>
  <c r="C82" i="27"/>
  <c r="G82" i="27" s="1"/>
  <c r="J69" i="31"/>
  <c r="K69" i="31" s="1"/>
  <c r="L69" i="31"/>
  <c r="M69" i="31" s="1"/>
  <c r="H69" i="31"/>
  <c r="I69" i="31" s="1"/>
  <c r="D69" i="31"/>
  <c r="E69" i="31" s="1"/>
  <c r="F69" i="31"/>
  <c r="G69" i="31" s="1"/>
  <c r="F70" i="30"/>
  <c r="G70" i="30" s="1"/>
  <c r="H70" i="30"/>
  <c r="I70" i="30" s="1"/>
  <c r="D70" i="30"/>
  <c r="E70" i="30" s="1"/>
  <c r="D69" i="17"/>
  <c r="E69" i="17" s="1"/>
  <c r="D71" i="13"/>
  <c r="C84" i="21" s="1" a="1"/>
  <c r="C84" i="21" s="1"/>
  <c r="C70" i="17" a="1"/>
  <c r="C70" i="17" s="1"/>
  <c r="C71" i="30" a="1"/>
  <c r="C71" i="30" s="1"/>
  <c r="C70" i="31" a="1"/>
  <c r="C70" i="31" s="1"/>
  <c r="C43" i="27"/>
  <c r="G43" i="27" s="1"/>
  <c r="F45" i="21"/>
  <c r="E44" i="21"/>
  <c r="C37" i="29" s="1"/>
  <c r="E84" i="21" l="1"/>
  <c r="G84" i="21"/>
  <c r="D84" i="27" s="1"/>
  <c r="D77" i="29" s="1"/>
  <c r="H82" i="27"/>
  <c r="F82" i="27"/>
  <c r="H75" i="29" s="1"/>
  <c r="E82" i="27"/>
  <c r="G75" i="29" s="1"/>
  <c r="C76" i="29"/>
  <c r="E76" i="29" s="1"/>
  <c r="H83" i="21"/>
  <c r="C83" i="27"/>
  <c r="G83" i="27" s="1"/>
  <c r="H70" i="31"/>
  <c r="I70" i="31" s="1"/>
  <c r="J70" i="31"/>
  <c r="K70" i="31" s="1"/>
  <c r="L70" i="31"/>
  <c r="M70" i="31" s="1"/>
  <c r="D70" i="31"/>
  <c r="E70" i="31" s="1"/>
  <c r="F70" i="31"/>
  <c r="G70" i="31" s="1"/>
  <c r="H71" i="30"/>
  <c r="I71" i="30" s="1"/>
  <c r="D71" i="30"/>
  <c r="E71" i="30" s="1"/>
  <c r="F71" i="30"/>
  <c r="G71" i="30" s="1"/>
  <c r="D70" i="17"/>
  <c r="E70" i="17" s="1"/>
  <c r="D72" i="13"/>
  <c r="C85" i="21" s="1" a="1"/>
  <c r="C85" i="21" s="1"/>
  <c r="C71" i="17" a="1"/>
  <c r="C71" i="17" s="1"/>
  <c r="C71" i="31" a="1"/>
  <c r="C71" i="31" s="1"/>
  <c r="C72" i="30" a="1"/>
  <c r="C72" i="30" s="1"/>
  <c r="C44" i="27"/>
  <c r="G44" i="27" s="1"/>
  <c r="F46" i="21"/>
  <c r="E45" i="21"/>
  <c r="C38" i="29" s="1"/>
  <c r="I75" i="29" l="1"/>
  <c r="J75" i="29" s="1"/>
  <c r="H83" i="27"/>
  <c r="E83" i="27"/>
  <c r="G76" i="29" s="1"/>
  <c r="F83" i="27"/>
  <c r="H76" i="29" s="1"/>
  <c r="F76" i="29"/>
  <c r="R76" i="29" s="1"/>
  <c r="T76" i="29" s="1"/>
  <c r="U76" i="29" s="1"/>
  <c r="E85" i="21"/>
  <c r="G85" i="21"/>
  <c r="D85" i="27" s="1"/>
  <c r="D78" i="29" s="1"/>
  <c r="C77" i="29"/>
  <c r="E77" i="29" s="1"/>
  <c r="C84" i="27"/>
  <c r="G84" i="27" s="1"/>
  <c r="H84" i="21"/>
  <c r="L71" i="31"/>
  <c r="M71" i="31" s="1"/>
  <c r="H71" i="31"/>
  <c r="I71" i="31" s="1"/>
  <c r="J71" i="31"/>
  <c r="K71" i="31" s="1"/>
  <c r="D71" i="31"/>
  <c r="E71" i="31" s="1"/>
  <c r="F71" i="31"/>
  <c r="G71" i="31" s="1"/>
  <c r="H72" i="30"/>
  <c r="I72" i="30" s="1"/>
  <c r="D72" i="30"/>
  <c r="E72" i="30" s="1"/>
  <c r="F72" i="30"/>
  <c r="G72" i="30" s="1"/>
  <c r="D71" i="17"/>
  <c r="E71" i="17" s="1"/>
  <c r="D73" i="13"/>
  <c r="C86" i="21" s="1" a="1"/>
  <c r="C86" i="21" s="1"/>
  <c r="C72" i="17" a="1"/>
  <c r="C72" i="17" s="1"/>
  <c r="C72" i="31" a="1"/>
  <c r="C72" i="31" s="1"/>
  <c r="C73" i="30" a="1"/>
  <c r="C73" i="30" s="1"/>
  <c r="C45" i="27"/>
  <c r="G45" i="27" s="1"/>
  <c r="E46" i="21"/>
  <c r="C39" i="29" s="1"/>
  <c r="F47" i="21"/>
  <c r="S75" i="29" l="1"/>
  <c r="W75" i="29" s="1"/>
  <c r="F77" i="29"/>
  <c r="R77" i="29" s="1"/>
  <c r="T77" i="29" s="1"/>
  <c r="U77" i="29" s="1"/>
  <c r="C78" i="29"/>
  <c r="E78" i="29" s="1"/>
  <c r="F78" i="29" s="1"/>
  <c r="R78" i="29" s="1"/>
  <c r="T78" i="29" s="1"/>
  <c r="H85" i="21"/>
  <c r="C85" i="27"/>
  <c r="G85" i="27" s="1"/>
  <c r="E86" i="21"/>
  <c r="G86" i="21"/>
  <c r="D86" i="27" s="1"/>
  <c r="D79" i="29" s="1"/>
  <c r="H84" i="27"/>
  <c r="E84" i="27"/>
  <c r="G77" i="29" s="1"/>
  <c r="F84" i="27"/>
  <c r="H77" i="29" s="1"/>
  <c r="I76" i="29"/>
  <c r="H72" i="31"/>
  <c r="I72" i="31" s="1"/>
  <c r="J72" i="31"/>
  <c r="K72" i="31" s="1"/>
  <c r="L72" i="31"/>
  <c r="M72" i="31" s="1"/>
  <c r="D72" i="31"/>
  <c r="E72" i="31" s="1"/>
  <c r="F72" i="31"/>
  <c r="G72" i="31" s="1"/>
  <c r="H73" i="30"/>
  <c r="I73" i="30" s="1"/>
  <c r="F73" i="30"/>
  <c r="G73" i="30" s="1"/>
  <c r="D73" i="30"/>
  <c r="E73" i="30" s="1"/>
  <c r="D72" i="17"/>
  <c r="E72" i="17" s="1"/>
  <c r="C73" i="17" a="1"/>
  <c r="C73" i="17" s="1"/>
  <c r="C73" i="31" a="1"/>
  <c r="C73" i="31" s="1"/>
  <c r="C74" i="30" a="1"/>
  <c r="C74" i="30" s="1"/>
  <c r="C46" i="27"/>
  <c r="G46" i="27" s="1"/>
  <c r="E47" i="21"/>
  <c r="C40" i="29" s="1"/>
  <c r="F48" i="21"/>
  <c r="U78" i="29" l="1"/>
  <c r="I77" i="29"/>
  <c r="S77" i="29" s="1"/>
  <c r="W77" i="29" s="1"/>
  <c r="S76" i="29"/>
  <c r="W76" i="29" s="1"/>
  <c r="X76" i="29" s="1"/>
  <c r="J76" i="29"/>
  <c r="C79" i="29"/>
  <c r="E79" i="29" s="1"/>
  <c r="C86" i="27"/>
  <c r="G86" i="27" s="1"/>
  <c r="H86" i="21"/>
  <c r="H85" i="27"/>
  <c r="E85" i="27"/>
  <c r="G78" i="29" s="1"/>
  <c r="F85" i="27"/>
  <c r="H78" i="29" s="1"/>
  <c r="L73" i="31"/>
  <c r="M73" i="31" s="1"/>
  <c r="H73" i="31"/>
  <c r="I73" i="31" s="1"/>
  <c r="J73" i="31"/>
  <c r="K73" i="31" s="1"/>
  <c r="F73" i="31"/>
  <c r="G73" i="31" s="1"/>
  <c r="D73" i="31"/>
  <c r="E73" i="31" s="1"/>
  <c r="D74" i="30"/>
  <c r="E74" i="30" s="1"/>
  <c r="F74" i="30"/>
  <c r="G74" i="30" s="1"/>
  <c r="H74" i="30"/>
  <c r="I74" i="30" s="1"/>
  <c r="D73" i="17"/>
  <c r="E73" i="17" s="1"/>
  <c r="C47" i="27"/>
  <c r="G47" i="27" s="1"/>
  <c r="E48" i="21"/>
  <c r="C41" i="29" s="1"/>
  <c r="F49" i="21"/>
  <c r="X77" i="29" l="1"/>
  <c r="J77" i="29"/>
  <c r="I78" i="29"/>
  <c r="J78" i="29" s="1"/>
  <c r="F79" i="29"/>
  <c r="R79" i="29" s="1"/>
  <c r="T79" i="29" s="1"/>
  <c r="U79" i="29" s="1"/>
  <c r="H86" i="27"/>
  <c r="F86" i="27"/>
  <c r="H79" i="29" s="1"/>
  <c r="E86" i="27"/>
  <c r="G79" i="29" s="1"/>
  <c r="C48" i="27"/>
  <c r="G48" i="27" s="1"/>
  <c r="E49" i="21"/>
  <c r="C42" i="29" s="1"/>
  <c r="S78" i="29" l="1"/>
  <c r="W78" i="29" s="1"/>
  <c r="X78" i="29" s="1"/>
  <c r="I79" i="29"/>
  <c r="S79" i="29" s="1"/>
  <c r="W79" i="29" s="1"/>
  <c r="C49" i="27"/>
  <c r="G49" i="27" s="1"/>
  <c r="F50" i="21"/>
  <c r="G50" i="21" s="1"/>
  <c r="E50" i="21"/>
  <c r="X79" i="29" l="1"/>
  <c r="J79" i="29"/>
  <c r="C50" i="27"/>
  <c r="G50" i="27" s="1"/>
  <c r="C43" i="29"/>
  <c r="D50" i="27"/>
  <c r="F50" i="27" l="1"/>
  <c r="D43" i="29"/>
  <c r="E43" i="29" s="1"/>
  <c r="F43" i="29" s="1"/>
  <c r="E50" i="27"/>
  <c r="E81" i="21"/>
  <c r="C74" i="29" s="1"/>
  <c r="F81" i="21"/>
  <c r="N53" i="21"/>
  <c r="D53" i="21" s="1"/>
  <c r="R43" i="29" l="1"/>
  <c r="C81" i="27"/>
  <c r="G81" i="27" s="1"/>
  <c r="K54" i="21"/>
  <c r="N54" i="21" s="1"/>
  <c r="D54" i="21" s="1"/>
  <c r="E52" i="21"/>
  <c r="C45" i="29" s="1"/>
  <c r="T43" i="29" l="1"/>
  <c r="C52" i="27"/>
  <c r="G52" i="27" s="1"/>
  <c r="E53" i="21"/>
  <c r="C46" i="29" s="1"/>
  <c r="F53" i="21"/>
  <c r="K55" i="21"/>
  <c r="N55" i="21" s="1"/>
  <c r="D55" i="21" s="1"/>
  <c r="F54" i="21"/>
  <c r="C53" i="27" l="1"/>
  <c r="G53" i="27" s="1"/>
  <c r="E54" i="21"/>
  <c r="C47" i="29" s="1"/>
  <c r="K56" i="21"/>
  <c r="F55" i="21"/>
  <c r="C54" i="27" l="1"/>
  <c r="G54" i="27" s="1"/>
  <c r="N56" i="21"/>
  <c r="K57" i="21"/>
  <c r="N57" i="21" s="1"/>
  <c r="D57" i="21" s="1"/>
  <c r="E55" i="21"/>
  <c r="C48" i="29" s="1"/>
  <c r="D56" i="21" l="1"/>
  <c r="F56" i="21" s="1"/>
  <c r="C55" i="27"/>
  <c r="G55" i="27" s="1"/>
  <c r="K58" i="21"/>
  <c r="F57" i="21"/>
  <c r="E56" i="21" l="1"/>
  <c r="C49" i="29" s="1"/>
  <c r="N58" i="21"/>
  <c r="E57" i="21"/>
  <c r="C50" i="29" s="1"/>
  <c r="K59" i="21"/>
  <c r="N59" i="21" s="1"/>
  <c r="D59" i="21" s="1"/>
  <c r="C56" i="27" l="1"/>
  <c r="G56" i="27" s="1"/>
  <c r="D58" i="21"/>
  <c r="F58" i="21" s="1"/>
  <c r="C57" i="27"/>
  <c r="G57" i="27" s="1"/>
  <c r="K60" i="21"/>
  <c r="N60" i="21" s="1"/>
  <c r="D60" i="21" s="1"/>
  <c r="F59" i="21"/>
  <c r="E58" i="21" l="1"/>
  <c r="C51" i="29" s="1"/>
  <c r="E59" i="21"/>
  <c r="C52" i="29" s="1"/>
  <c r="K61" i="21"/>
  <c r="N61" i="21" s="1"/>
  <c r="D61" i="21" s="1"/>
  <c r="F60" i="21"/>
  <c r="C58" i="27" l="1"/>
  <c r="G58" i="27" s="1"/>
  <c r="C59" i="27"/>
  <c r="G59" i="27" s="1"/>
  <c r="E60" i="21"/>
  <c r="C53" i="29" s="1"/>
  <c r="K62" i="21"/>
  <c r="N62" i="21" s="1"/>
  <c r="D62" i="21" s="1"/>
  <c r="F61" i="21"/>
  <c r="C60" i="27" l="1"/>
  <c r="G60" i="27" s="1"/>
  <c r="E61" i="21"/>
  <c r="C54" i="29" s="1"/>
  <c r="K63" i="21"/>
  <c r="N63" i="21" s="1"/>
  <c r="D63" i="21" s="1"/>
  <c r="F62" i="21"/>
  <c r="C61" i="27" l="1"/>
  <c r="G61" i="27" s="1"/>
  <c r="E62" i="21"/>
  <c r="C55" i="29" s="1"/>
  <c r="K64" i="21"/>
  <c r="N64" i="21" s="1"/>
  <c r="D64" i="21" s="1"/>
  <c r="F63" i="21"/>
  <c r="C62" i="27" l="1"/>
  <c r="G62" i="27" s="1"/>
  <c r="E63" i="21"/>
  <c r="C56" i="29" s="1"/>
  <c r="K65" i="21"/>
  <c r="N65" i="21" s="1"/>
  <c r="D65" i="21" s="1"/>
  <c r="F64" i="21"/>
  <c r="C63" i="27" l="1"/>
  <c r="G63" i="27" s="1"/>
  <c r="E64" i="21"/>
  <c r="C57" i="29" s="1"/>
  <c r="K66" i="21"/>
  <c r="N66" i="21" s="1"/>
  <c r="D66" i="21" s="1"/>
  <c r="F65" i="21"/>
  <c r="C64" i="27" l="1"/>
  <c r="G64" i="27" s="1"/>
  <c r="K67" i="21"/>
  <c r="N67" i="21" s="1"/>
  <c r="D67" i="21" s="1"/>
  <c r="F66" i="21"/>
  <c r="E65" i="21"/>
  <c r="C58" i="29" s="1"/>
  <c r="C65" i="27" l="1"/>
  <c r="G65" i="27" s="1"/>
  <c r="E66" i="21"/>
  <c r="C59" i="29" s="1"/>
  <c r="K68" i="21"/>
  <c r="N68" i="21" s="1"/>
  <c r="D68" i="21" s="1"/>
  <c r="F67" i="21"/>
  <c r="C66" i="27" l="1"/>
  <c r="G66" i="27" s="1"/>
  <c r="E67" i="21"/>
  <c r="C60" i="29" s="1"/>
  <c r="K69" i="21"/>
  <c r="N69" i="21" s="1"/>
  <c r="D69" i="21" s="1"/>
  <c r="F68" i="21"/>
  <c r="C67" i="27" l="1"/>
  <c r="G67" i="27" s="1"/>
  <c r="K70" i="21"/>
  <c r="N70" i="21" s="1"/>
  <c r="D70" i="21" s="1"/>
  <c r="F69" i="21"/>
  <c r="E68" i="21"/>
  <c r="C61" i="29" s="1"/>
  <c r="C68" i="27" l="1"/>
  <c r="G68" i="27" s="1"/>
  <c r="E69" i="21"/>
  <c r="C62" i="29" s="1"/>
  <c r="K71" i="21"/>
  <c r="N71" i="21" s="1"/>
  <c r="D71" i="21" s="1"/>
  <c r="F70" i="21"/>
  <c r="C69" i="27" l="1"/>
  <c r="G69" i="27" s="1"/>
  <c r="E70" i="21"/>
  <c r="C63" i="29" s="1"/>
  <c r="K72" i="21"/>
  <c r="N72" i="21" s="1"/>
  <c r="D72" i="21" s="1"/>
  <c r="F71" i="21"/>
  <c r="C70" i="27" l="1"/>
  <c r="G70" i="27" s="1"/>
  <c r="E71" i="21"/>
  <c r="C64" i="29" s="1"/>
  <c r="K73" i="21"/>
  <c r="N73" i="21" s="1"/>
  <c r="D73" i="21" s="1"/>
  <c r="F72" i="21"/>
  <c r="C71" i="27" l="1"/>
  <c r="G71" i="27" s="1"/>
  <c r="E72" i="21"/>
  <c r="C65" i="29" s="1"/>
  <c r="K74" i="21"/>
  <c r="N74" i="21" s="1"/>
  <c r="D74" i="21" s="1"/>
  <c r="F73" i="21"/>
  <c r="C72" i="27" l="1"/>
  <c r="G72" i="27" s="1"/>
  <c r="E73" i="21"/>
  <c r="C66" i="29" s="1"/>
  <c r="K75" i="21"/>
  <c r="N75" i="21" s="1"/>
  <c r="D75" i="21" s="1"/>
  <c r="F74" i="21"/>
  <c r="C73" i="27" l="1"/>
  <c r="G73" i="27" s="1"/>
  <c r="E74" i="21"/>
  <c r="C67" i="29" s="1"/>
  <c r="K76" i="21"/>
  <c r="N76" i="21" s="1"/>
  <c r="D76" i="21" s="1"/>
  <c r="F75" i="21"/>
  <c r="C74" i="27" l="1"/>
  <c r="G74" i="27" s="1"/>
  <c r="E75" i="21"/>
  <c r="C68" i="29" s="1"/>
  <c r="K77" i="21"/>
  <c r="N77" i="21" s="1"/>
  <c r="D77" i="21" s="1"/>
  <c r="F76" i="21"/>
  <c r="C75" i="27" l="1"/>
  <c r="G75" i="27" s="1"/>
  <c r="K78" i="21"/>
  <c r="N78" i="21" s="1"/>
  <c r="D78" i="21" s="1"/>
  <c r="F77" i="21"/>
  <c r="E76" i="21"/>
  <c r="C69" i="29" s="1"/>
  <c r="C76" i="27" l="1"/>
  <c r="G76" i="27" s="1"/>
  <c r="E77" i="21"/>
  <c r="C70" i="29" s="1"/>
  <c r="K79" i="21"/>
  <c r="N79" i="21" s="1"/>
  <c r="D79" i="21" s="1"/>
  <c r="F78" i="21"/>
  <c r="C77" i="27" l="1"/>
  <c r="G77" i="27" s="1"/>
  <c r="K80" i="21"/>
  <c r="N80" i="21" s="1"/>
  <c r="D80" i="21" s="1"/>
  <c r="F79" i="21"/>
  <c r="E78" i="21"/>
  <c r="C71" i="29" s="1"/>
  <c r="C78" i="27" l="1"/>
  <c r="G78" i="27" s="1"/>
  <c r="E79" i="21"/>
  <c r="C72" i="29" s="1"/>
  <c r="F80" i="21"/>
  <c r="C79" i="27" l="1"/>
  <c r="G79" i="27" s="1"/>
  <c r="E80" i="21"/>
  <c r="C73" i="29" s="1"/>
  <c r="G53" i="21"/>
  <c r="G76" i="21"/>
  <c r="G64" i="21"/>
  <c r="G52" i="21"/>
  <c r="G75" i="21"/>
  <c r="G63" i="21"/>
  <c r="G51" i="21"/>
  <c r="G74" i="21"/>
  <c r="G62" i="21"/>
  <c r="G73" i="21"/>
  <c r="G61" i="21"/>
  <c r="G49" i="21"/>
  <c r="G72" i="21"/>
  <c r="G60" i="21"/>
  <c r="G71" i="21"/>
  <c r="G59" i="21"/>
  <c r="G47" i="21"/>
  <c r="G77" i="21"/>
  <c r="G70" i="21"/>
  <c r="G58" i="21"/>
  <c r="G46" i="21"/>
  <c r="G81" i="21"/>
  <c r="G69" i="21"/>
  <c r="G57" i="21"/>
  <c r="G45" i="21"/>
  <c r="G80" i="21"/>
  <c r="D80" i="27" s="1"/>
  <c r="G68" i="21"/>
  <c r="G56" i="21"/>
  <c r="G44" i="21"/>
  <c r="G79" i="21"/>
  <c r="G67" i="21"/>
  <c r="G55" i="21"/>
  <c r="G43" i="21"/>
  <c r="G65" i="21"/>
  <c r="G78" i="21"/>
  <c r="G66" i="21"/>
  <c r="G54" i="21"/>
  <c r="D56" i="27" l="1"/>
  <c r="D59" i="27"/>
  <c r="D52" i="27"/>
  <c r="D77" i="27"/>
  <c r="D68" i="27"/>
  <c r="D71" i="27"/>
  <c r="D64" i="29" s="1"/>
  <c r="E64" i="29" s="1"/>
  <c r="D64" i="27"/>
  <c r="D79" i="27"/>
  <c r="D72" i="29" s="1"/>
  <c r="E72" i="29" s="1"/>
  <c r="D60" i="27"/>
  <c r="D76" i="27"/>
  <c r="D54" i="27"/>
  <c r="D47" i="29" s="1"/>
  <c r="E47" i="29" s="1"/>
  <c r="F47" i="29" s="1"/>
  <c r="D45" i="27"/>
  <c r="D38" i="29" s="1"/>
  <c r="E38" i="29" s="1"/>
  <c r="F38" i="29" s="1"/>
  <c r="D72" i="27"/>
  <c r="D53" i="27"/>
  <c r="D69" i="27"/>
  <c r="D75" i="27"/>
  <c r="C80" i="27"/>
  <c r="G80" i="27" s="1"/>
  <c r="D81" i="27"/>
  <c r="D73" i="27"/>
  <c r="D47" i="27"/>
  <c r="D49" i="27"/>
  <c r="D46" i="27"/>
  <c r="D62" i="27"/>
  <c r="D44" i="27"/>
  <c r="D66" i="27"/>
  <c r="D43" i="27"/>
  <c r="D74" i="27"/>
  <c r="D67" i="29" s="1"/>
  <c r="E67" i="29" s="1"/>
  <c r="D63" i="27"/>
  <c r="D57" i="27"/>
  <c r="D78" i="27"/>
  <c r="D61" i="27"/>
  <c r="D65" i="27"/>
  <c r="D58" i="29" s="1"/>
  <c r="E58" i="29" s="1"/>
  <c r="D55" i="27"/>
  <c r="D58" i="27"/>
  <c r="D67" i="27"/>
  <c r="D60" i="29" s="1"/>
  <c r="E60" i="29" s="1"/>
  <c r="D70" i="27"/>
  <c r="D51" i="27"/>
  <c r="D73" i="29"/>
  <c r="G48" i="21"/>
  <c r="H61" i="21"/>
  <c r="H45" i="21"/>
  <c r="H56" i="21"/>
  <c r="H50" i="21"/>
  <c r="H75" i="21"/>
  <c r="H73" i="21"/>
  <c r="H46" i="21"/>
  <c r="H52" i="21"/>
  <c r="H64" i="21"/>
  <c r="H68" i="21"/>
  <c r="H81" i="21"/>
  <c r="H51" i="21"/>
  <c r="H70" i="21"/>
  <c r="H76" i="21"/>
  <c r="H72" i="21"/>
  <c r="H57" i="21"/>
  <c r="H74" i="21"/>
  <c r="H66" i="21"/>
  <c r="H78" i="21"/>
  <c r="H65" i="21"/>
  <c r="H43" i="21"/>
  <c r="H55" i="21"/>
  <c r="H67" i="21"/>
  <c r="H71" i="21"/>
  <c r="H53" i="21"/>
  <c r="H62" i="21"/>
  <c r="H63" i="21"/>
  <c r="H49" i="21"/>
  <c r="H69" i="21"/>
  <c r="H54" i="21"/>
  <c r="H58" i="21"/>
  <c r="H77" i="21"/>
  <c r="H47" i="21"/>
  <c r="H59" i="21"/>
  <c r="H79" i="21"/>
  <c r="H44" i="21"/>
  <c r="H60" i="21"/>
  <c r="H80" i="21"/>
  <c r="F60" i="29" l="1"/>
  <c r="R60" i="29" s="1"/>
  <c r="T60" i="29" s="1"/>
  <c r="F72" i="29"/>
  <c r="R72" i="29" s="1"/>
  <c r="T72" i="29" s="1"/>
  <c r="F64" i="29"/>
  <c r="R64" i="29" s="1"/>
  <c r="T64" i="29" s="1"/>
  <c r="F67" i="29"/>
  <c r="R67" i="29" s="1"/>
  <c r="T67" i="29" s="1"/>
  <c r="F58" i="29"/>
  <c r="R58" i="29" s="1"/>
  <c r="T58" i="29" s="1"/>
  <c r="R38" i="29"/>
  <c r="R47" i="29"/>
  <c r="F79" i="27"/>
  <c r="E79" i="27"/>
  <c r="F57" i="27"/>
  <c r="E57" i="27"/>
  <c r="D50" i="29"/>
  <c r="E50" i="29" s="1"/>
  <c r="F50" i="29" s="1"/>
  <c r="F63" i="27"/>
  <c r="E63" i="27"/>
  <c r="D48" i="27"/>
  <c r="D41" i="29" s="1"/>
  <c r="E41" i="29" s="1"/>
  <c r="F41" i="29" s="1"/>
  <c r="F55" i="27"/>
  <c r="E55" i="27"/>
  <c r="F46" i="27"/>
  <c r="E46" i="27"/>
  <c r="F75" i="27"/>
  <c r="E75" i="27"/>
  <c r="F76" i="27"/>
  <c r="E76" i="27"/>
  <c r="E77" i="27"/>
  <c r="F77" i="27"/>
  <c r="E81" i="27"/>
  <c r="F81" i="27"/>
  <c r="F62" i="27"/>
  <c r="E62" i="27"/>
  <c r="E73" i="29"/>
  <c r="D48" i="29"/>
  <c r="E48" i="29" s="1"/>
  <c r="F48" i="29" s="1"/>
  <c r="D39" i="29"/>
  <c r="E39" i="29" s="1"/>
  <c r="F39" i="29" s="1"/>
  <c r="D68" i="29"/>
  <c r="E68" i="29" s="1"/>
  <c r="D69" i="29"/>
  <c r="E69" i="29" s="1"/>
  <c r="D70" i="29"/>
  <c r="E70" i="29" s="1"/>
  <c r="F67" i="27"/>
  <c r="E67" i="27"/>
  <c r="D74" i="29"/>
  <c r="E74" i="29" s="1"/>
  <c r="E68" i="27"/>
  <c r="F68" i="27"/>
  <c r="E49" i="27"/>
  <c r="F49" i="27"/>
  <c r="F69" i="27"/>
  <c r="E69" i="27"/>
  <c r="E60" i="27"/>
  <c r="F60" i="27"/>
  <c r="F52" i="27"/>
  <c r="E52" i="27"/>
  <c r="D42" i="29"/>
  <c r="E42" i="29" s="1"/>
  <c r="F42" i="29" s="1"/>
  <c r="D62" i="29"/>
  <c r="E62" i="29" s="1"/>
  <c r="D53" i="29"/>
  <c r="E53" i="29" s="1"/>
  <c r="F53" i="29" s="1"/>
  <c r="D45" i="29"/>
  <c r="E45" i="29" s="1"/>
  <c r="F45" i="29" s="1"/>
  <c r="E45" i="27"/>
  <c r="F45" i="27"/>
  <c r="D56" i="29"/>
  <c r="E56" i="29" s="1"/>
  <c r="E65" i="27"/>
  <c r="F65" i="27"/>
  <c r="F51" i="27"/>
  <c r="E51" i="27"/>
  <c r="E61" i="27"/>
  <c r="F61" i="27"/>
  <c r="E43" i="27"/>
  <c r="F43" i="27"/>
  <c r="F47" i="27"/>
  <c r="E47" i="27"/>
  <c r="E53" i="27"/>
  <c r="F53" i="27"/>
  <c r="E59" i="27"/>
  <c r="F59" i="27"/>
  <c r="E44" i="27"/>
  <c r="F44" i="27"/>
  <c r="E80" i="27"/>
  <c r="F80" i="27"/>
  <c r="D55" i="29"/>
  <c r="E55" i="29" s="1"/>
  <c r="D44" i="29"/>
  <c r="E44" i="29" s="1"/>
  <c r="F44" i="29" s="1"/>
  <c r="D54" i="29"/>
  <c r="E54" i="29" s="1"/>
  <c r="D36" i="29"/>
  <c r="E36" i="29" s="1"/>
  <c r="D40" i="29"/>
  <c r="E40" i="29" s="1"/>
  <c r="F40" i="29" s="1"/>
  <c r="D46" i="29"/>
  <c r="E46" i="29" s="1"/>
  <c r="F46" i="29" s="1"/>
  <c r="D52" i="29"/>
  <c r="E52" i="29" s="1"/>
  <c r="F52" i="29" s="1"/>
  <c r="E71" i="27"/>
  <c r="F71" i="27"/>
  <c r="F58" i="27"/>
  <c r="E58" i="27"/>
  <c r="D51" i="29"/>
  <c r="E51" i="29" s="1"/>
  <c r="F51" i="29" s="1"/>
  <c r="F74" i="27"/>
  <c r="E74" i="27"/>
  <c r="E70" i="27"/>
  <c r="F70" i="27"/>
  <c r="E78" i="27"/>
  <c r="F78" i="27"/>
  <c r="F66" i="27"/>
  <c r="E66" i="27"/>
  <c r="E73" i="27"/>
  <c r="F73" i="27"/>
  <c r="E72" i="27"/>
  <c r="F72" i="27"/>
  <c r="F64" i="27"/>
  <c r="E64" i="27"/>
  <c r="F56" i="27"/>
  <c r="E56" i="27"/>
  <c r="D37" i="29"/>
  <c r="E37" i="29" s="1"/>
  <c r="F37" i="29" s="1"/>
  <c r="E54" i="27"/>
  <c r="F54" i="27"/>
  <c r="D61" i="29"/>
  <c r="E61" i="29" s="1"/>
  <c r="D63" i="29"/>
  <c r="E63" i="29" s="1"/>
  <c r="D71" i="29"/>
  <c r="E71" i="29" s="1"/>
  <c r="D59" i="29"/>
  <c r="E59" i="29" s="1"/>
  <c r="D66" i="29"/>
  <c r="E66" i="29" s="1"/>
  <c r="D65" i="29"/>
  <c r="E65" i="29" s="1"/>
  <c r="D57" i="29"/>
  <c r="E57" i="29" s="1"/>
  <c r="D49" i="29"/>
  <c r="E49" i="29" s="1"/>
  <c r="F49" i="29" s="1"/>
  <c r="H48" i="21"/>
  <c r="F71" i="29" l="1"/>
  <c r="R71" i="29" s="1"/>
  <c r="T71" i="29" s="1"/>
  <c r="F63" i="29"/>
  <c r="R63" i="29" s="1"/>
  <c r="T63" i="29" s="1"/>
  <c r="F69" i="29"/>
  <c r="R69" i="29" s="1"/>
  <c r="T69" i="29" s="1"/>
  <c r="F68" i="29"/>
  <c r="R68" i="29" s="1"/>
  <c r="T68" i="29" s="1"/>
  <c r="U68" i="29" s="1"/>
  <c r="F74" i="29"/>
  <c r="F56" i="29"/>
  <c r="R56" i="29" s="1"/>
  <c r="T56" i="29" s="1"/>
  <c r="F59" i="29"/>
  <c r="R59" i="29" s="1"/>
  <c r="T59" i="29" s="1"/>
  <c r="U59" i="29" s="1"/>
  <c r="F73" i="29"/>
  <c r="F65" i="29"/>
  <c r="R65" i="29" s="1"/>
  <c r="T65" i="29" s="1"/>
  <c r="U65" i="29" s="1"/>
  <c r="F70" i="29"/>
  <c r="R70" i="29" s="1"/>
  <c r="T70" i="29" s="1"/>
  <c r="F61" i="29"/>
  <c r="R61" i="29" s="1"/>
  <c r="T61" i="29" s="1"/>
  <c r="U61" i="29" s="1"/>
  <c r="F36" i="29"/>
  <c r="R36" i="29" s="1"/>
  <c r="T36" i="29" s="1"/>
  <c r="U36" i="29" s="1"/>
  <c r="F55" i="29"/>
  <c r="R55" i="29" s="1"/>
  <c r="T55" i="29" s="1"/>
  <c r="F66" i="29"/>
  <c r="R66" i="29" s="1"/>
  <c r="T66" i="29" s="1"/>
  <c r="F54" i="29"/>
  <c r="R54" i="29" s="1"/>
  <c r="T54" i="29" s="1"/>
  <c r="F62" i="29"/>
  <c r="R62" i="29" s="1"/>
  <c r="T62" i="29" s="1"/>
  <c r="F57" i="29"/>
  <c r="R57" i="29" s="1"/>
  <c r="T57" i="29" s="1"/>
  <c r="T38" i="29"/>
  <c r="T47" i="29"/>
  <c r="V43" i="29"/>
  <c r="Z43" i="29" s="1"/>
  <c r="AB43" i="29" s="1"/>
  <c r="R50" i="29"/>
  <c r="T50" i="29" s="1"/>
  <c r="R51" i="29"/>
  <c r="T51" i="29" s="1"/>
  <c r="R52" i="29"/>
  <c r="T52" i="29" s="1"/>
  <c r="R39" i="29"/>
  <c r="T39" i="29" s="1"/>
  <c r="R46" i="29"/>
  <c r="T46" i="29" s="1"/>
  <c r="R48" i="29"/>
  <c r="T48" i="29" s="1"/>
  <c r="R37" i="29"/>
  <c r="T37" i="29" s="1"/>
  <c r="R40" i="29"/>
  <c r="T40" i="29" s="1"/>
  <c r="R45" i="29"/>
  <c r="T45" i="29" s="1"/>
  <c r="R44" i="29"/>
  <c r="T44" i="29" s="1"/>
  <c r="U44" i="29" s="1"/>
  <c r="R53" i="29"/>
  <c r="T53" i="29" s="1"/>
  <c r="R41" i="29"/>
  <c r="T41" i="29" s="1"/>
  <c r="R42" i="29"/>
  <c r="R49" i="29"/>
  <c r="T49" i="29" s="1"/>
  <c r="F48" i="27"/>
  <c r="E48" i="27"/>
  <c r="H42" i="21"/>
  <c r="U52" i="29" l="1"/>
  <c r="U62" i="29"/>
  <c r="U46" i="29"/>
  <c r="U55" i="29"/>
  <c r="U51" i="29"/>
  <c r="U38" i="29"/>
  <c r="U56" i="29"/>
  <c r="U47" i="29"/>
  <c r="U40" i="29"/>
  <c r="U37" i="29"/>
  <c r="U53" i="29"/>
  <c r="U66" i="29"/>
  <c r="U71" i="29"/>
  <c r="U45" i="29"/>
  <c r="U57" i="29"/>
  <c r="U54" i="29"/>
  <c r="U69" i="29"/>
  <c r="U63" i="29"/>
  <c r="U60" i="29"/>
  <c r="U72" i="29"/>
  <c r="U70" i="29"/>
  <c r="U64" i="29"/>
  <c r="U67" i="29"/>
  <c r="U48" i="29"/>
  <c r="U39" i="29"/>
  <c r="U49" i="29"/>
  <c r="U50" i="29"/>
  <c r="U41" i="29"/>
  <c r="U58" i="29"/>
  <c r="T42" i="29"/>
  <c r="V51" i="29"/>
  <c r="Z51" i="29" s="1"/>
  <c r="AB51" i="29" s="1"/>
  <c r="V45" i="29"/>
  <c r="Z45" i="29" s="1"/>
  <c r="AB45" i="29" s="1"/>
  <c r="V53" i="29"/>
  <c r="Z53" i="29" s="1"/>
  <c r="AB53" i="29" s="1"/>
  <c r="V40" i="29"/>
  <c r="Z40" i="29" s="1"/>
  <c r="AB40" i="29" s="1"/>
  <c r="V38" i="29"/>
  <c r="Z38" i="29" s="1"/>
  <c r="AB38" i="29" s="1"/>
  <c r="V47" i="29"/>
  <c r="Z47" i="29" s="1"/>
  <c r="AB47" i="29" s="1"/>
  <c r="V37" i="29"/>
  <c r="Z37" i="29" s="1"/>
  <c r="AB37" i="29" s="1"/>
  <c r="V46" i="29"/>
  <c r="Z46" i="29" s="1"/>
  <c r="AB46" i="29" s="1"/>
  <c r="V50" i="29"/>
  <c r="Z50" i="29" s="1"/>
  <c r="AB50" i="29" s="1"/>
  <c r="V36" i="29"/>
  <c r="Z36" i="29" s="1"/>
  <c r="AB36" i="29" s="1"/>
  <c r="G74" i="29"/>
  <c r="H74" i="29"/>
  <c r="H81" i="27"/>
  <c r="U42" i="29" l="1"/>
  <c r="U43" i="29"/>
  <c r="V48" i="29"/>
  <c r="Z48" i="29" s="1"/>
  <c r="AB48" i="29" s="1"/>
  <c r="V52" i="29"/>
  <c r="Z52" i="29" s="1"/>
  <c r="AB52" i="29" s="1"/>
  <c r="V44" i="29"/>
  <c r="Z44" i="29" s="1"/>
  <c r="AB44" i="29" s="1"/>
  <c r="V42" i="29"/>
  <c r="Z42" i="29" s="1"/>
  <c r="AB42" i="29" s="1"/>
  <c r="V49" i="29"/>
  <c r="Z49" i="29" s="1"/>
  <c r="AB49" i="29" s="1"/>
  <c r="V72" i="29"/>
  <c r="Z72" i="29" s="1"/>
  <c r="AB72" i="29" s="1"/>
  <c r="V65" i="29"/>
  <c r="Z65" i="29" s="1"/>
  <c r="AB65" i="29" s="1"/>
  <c r="V63" i="29"/>
  <c r="Z63" i="29" s="1"/>
  <c r="AB63" i="29" s="1"/>
  <c r="V54" i="29"/>
  <c r="Z54" i="29" s="1"/>
  <c r="AB54" i="29" s="1"/>
  <c r="V79" i="29"/>
  <c r="Z79" i="29" s="1"/>
  <c r="AB79" i="29" s="1"/>
  <c r="V77" i="29"/>
  <c r="Z77" i="29" s="1"/>
  <c r="AB77" i="29" s="1"/>
  <c r="V69" i="29"/>
  <c r="Z69" i="29" s="1"/>
  <c r="AB69" i="29" s="1"/>
  <c r="V62" i="29"/>
  <c r="Z62" i="29" s="1"/>
  <c r="AB62" i="29" s="1"/>
  <c r="V56" i="29"/>
  <c r="Z56" i="29" s="1"/>
  <c r="AB56" i="29" s="1"/>
  <c r="V67" i="29"/>
  <c r="Z67" i="29" s="1"/>
  <c r="AB67" i="29" s="1"/>
  <c r="V71" i="29"/>
  <c r="Z71" i="29" s="1"/>
  <c r="AB71" i="29" s="1"/>
  <c r="V60" i="29"/>
  <c r="Z60" i="29" s="1"/>
  <c r="AB60" i="29" s="1"/>
  <c r="V75" i="29"/>
  <c r="Z75" i="29" s="1"/>
  <c r="AB75" i="29" s="1"/>
  <c r="V78" i="29"/>
  <c r="Z78" i="29" s="1"/>
  <c r="AB78" i="29" s="1"/>
  <c r="V76" i="29"/>
  <c r="Z76" i="29" s="1"/>
  <c r="AB76" i="29" s="1"/>
  <c r="V55" i="29"/>
  <c r="Z55" i="29" s="1"/>
  <c r="AB55" i="29" s="1"/>
  <c r="V70" i="29"/>
  <c r="Z70" i="29" s="1"/>
  <c r="AB70" i="29" s="1"/>
  <c r="V61" i="29"/>
  <c r="Z61" i="29" s="1"/>
  <c r="AB61" i="29" s="1"/>
  <c r="V58" i="29"/>
  <c r="Z58" i="29" s="1"/>
  <c r="AB58" i="29" s="1"/>
  <c r="V64" i="29"/>
  <c r="Z64" i="29" s="1"/>
  <c r="AB64" i="29" s="1"/>
  <c r="V39" i="29"/>
  <c r="Z39" i="29" s="1"/>
  <c r="AB39" i="29" s="1"/>
  <c r="V66" i="29"/>
  <c r="Z66" i="29" s="1"/>
  <c r="AB66" i="29" s="1"/>
  <c r="V68" i="29"/>
  <c r="Z68" i="29" s="1"/>
  <c r="AB68" i="29" s="1"/>
  <c r="V57" i="29"/>
  <c r="Z57" i="29" s="1"/>
  <c r="AB57" i="29" s="1"/>
  <c r="V59" i="29"/>
  <c r="Z59" i="29" s="1"/>
  <c r="AB59" i="29" s="1"/>
  <c r="V41" i="29"/>
  <c r="Z41" i="29" s="1"/>
  <c r="AB41" i="29" s="1"/>
  <c r="I74" i="29"/>
  <c r="S74" i="29" s="1"/>
  <c r="W74" i="29" s="1"/>
  <c r="X75" i="29" l="1"/>
  <c r="J74" i="29"/>
  <c r="G36" i="29"/>
  <c r="H36" i="29"/>
  <c r="H43" i="27"/>
  <c r="I36" i="29" l="1"/>
  <c r="S36" i="29" s="1"/>
  <c r="G37" i="29"/>
  <c r="H37" i="29"/>
  <c r="H44" i="27"/>
  <c r="W36" i="29" l="1"/>
  <c r="X36" i="29" s="1"/>
  <c r="J36" i="29"/>
  <c r="I37" i="29"/>
  <c r="S37" i="29" s="1"/>
  <c r="G38" i="29"/>
  <c r="H38" i="29"/>
  <c r="H45" i="27"/>
  <c r="W37" i="29" l="1"/>
  <c r="X37" i="29" s="1"/>
  <c r="Y36" i="29"/>
  <c r="J37" i="29"/>
  <c r="I38" i="29"/>
  <c r="S38" i="29" s="1"/>
  <c r="G39" i="29"/>
  <c r="H39" i="29"/>
  <c r="H46" i="27"/>
  <c r="W38" i="29" l="1"/>
  <c r="X38" i="29" s="1"/>
  <c r="Y37" i="29"/>
  <c r="AA37" i="29" s="1"/>
  <c r="AC37" i="29" s="1"/>
  <c r="AA36" i="29"/>
  <c r="AC36" i="29" s="1"/>
  <c r="J38" i="29"/>
  <c r="I39" i="29"/>
  <c r="S39" i="29" s="1"/>
  <c r="G40" i="29"/>
  <c r="H40" i="29"/>
  <c r="H47" i="27"/>
  <c r="Y38" i="29" l="1"/>
  <c r="AA38" i="29" s="1"/>
  <c r="AC38" i="29" s="1"/>
  <c r="W39" i="29"/>
  <c r="X39" i="29" s="1"/>
  <c r="J39" i="29"/>
  <c r="I40" i="29"/>
  <c r="S40" i="29" s="1"/>
  <c r="G41" i="29"/>
  <c r="H41" i="29"/>
  <c r="H48" i="27"/>
  <c r="W40" i="29" l="1"/>
  <c r="X40" i="29" s="1"/>
  <c r="Y39" i="29"/>
  <c r="AA39" i="29" s="1"/>
  <c r="AC39" i="29" s="1"/>
  <c r="J40" i="29"/>
  <c r="I41" i="29"/>
  <c r="S41" i="29" s="1"/>
  <c r="H42" i="29"/>
  <c r="G42" i="29"/>
  <c r="H49" i="27"/>
  <c r="W41" i="29" l="1"/>
  <c r="X41" i="29" s="1"/>
  <c r="Y40" i="29"/>
  <c r="AA40" i="29" s="1"/>
  <c r="AC40" i="29" s="1"/>
  <c r="J41" i="29"/>
  <c r="I42" i="29"/>
  <c r="S42" i="29" s="1"/>
  <c r="H43" i="29"/>
  <c r="G43" i="29"/>
  <c r="H50" i="27"/>
  <c r="W42" i="29" l="1"/>
  <c r="X42" i="29" s="1"/>
  <c r="Y41" i="29"/>
  <c r="AA41" i="29" s="1"/>
  <c r="AC41" i="29" s="1"/>
  <c r="J42" i="29"/>
  <c r="I43" i="29"/>
  <c r="S43" i="29" s="1"/>
  <c r="H44" i="29"/>
  <c r="G44" i="29"/>
  <c r="H51" i="27"/>
  <c r="W43" i="29" l="1"/>
  <c r="X43" i="29" s="1"/>
  <c r="Y42" i="29"/>
  <c r="AA42" i="29" s="1"/>
  <c r="AC42" i="29" s="1"/>
  <c r="J43" i="29"/>
  <c r="I44" i="29"/>
  <c r="S44" i="29" s="1"/>
  <c r="H45" i="29"/>
  <c r="G45" i="29"/>
  <c r="H52" i="27"/>
  <c r="W44" i="29" l="1"/>
  <c r="X44" i="29" s="1"/>
  <c r="Y43" i="29"/>
  <c r="AA43" i="29" s="1"/>
  <c r="AC43" i="29" s="1"/>
  <c r="I45" i="29"/>
  <c r="J44" i="29"/>
  <c r="H46" i="29"/>
  <c r="G46" i="29"/>
  <c r="H53" i="27"/>
  <c r="Y44" i="29" l="1"/>
  <c r="AA44" i="29" s="1"/>
  <c r="AC44" i="29" s="1"/>
  <c r="J45" i="29"/>
  <c r="S45" i="29"/>
  <c r="I46" i="29"/>
  <c r="S46" i="29" s="1"/>
  <c r="G47" i="29"/>
  <c r="H47" i="29"/>
  <c r="H54" i="27"/>
  <c r="W45" i="29" l="1"/>
  <c r="X45" i="29" s="1"/>
  <c r="W46" i="29"/>
  <c r="J46" i="29"/>
  <c r="I47" i="29"/>
  <c r="S47" i="29" s="1"/>
  <c r="G48" i="29"/>
  <c r="H48" i="29"/>
  <c r="H55" i="27"/>
  <c r="Y46" i="29" l="1"/>
  <c r="AA46" i="29" s="1"/>
  <c r="AC46" i="29" s="1"/>
  <c r="X46" i="29"/>
  <c r="W47" i="29"/>
  <c r="X47" i="29" s="1"/>
  <c r="Y45" i="29"/>
  <c r="AA45" i="29" s="1"/>
  <c r="AC45" i="29" s="1"/>
  <c r="J47" i="29"/>
  <c r="I48" i="29"/>
  <c r="S48" i="29" s="1"/>
  <c r="G49" i="29"/>
  <c r="H49" i="29"/>
  <c r="H56" i="27"/>
  <c r="Y47" i="29" l="1"/>
  <c r="AA47" i="29" s="1"/>
  <c r="AC47" i="29" s="1"/>
  <c r="W48" i="29"/>
  <c r="X48" i="29" s="1"/>
  <c r="J48" i="29"/>
  <c r="I49" i="29"/>
  <c r="S49" i="29" s="1"/>
  <c r="G50" i="29"/>
  <c r="H50" i="29"/>
  <c r="H57" i="27"/>
  <c r="W49" i="29" l="1"/>
  <c r="X49" i="29" s="1"/>
  <c r="Y48" i="29"/>
  <c r="AA48" i="29" s="1"/>
  <c r="AC48" i="29" s="1"/>
  <c r="J49" i="29"/>
  <c r="I50" i="29"/>
  <c r="S50" i="29" s="1"/>
  <c r="W50" i="29" s="1"/>
  <c r="G51" i="29"/>
  <c r="H51" i="29"/>
  <c r="H58" i="27"/>
  <c r="X50" i="29" l="1"/>
  <c r="Y49" i="29"/>
  <c r="AA49" i="29" s="1"/>
  <c r="AC49" i="29" s="1"/>
  <c r="J50" i="29"/>
  <c r="I51" i="29"/>
  <c r="S51" i="29" s="1"/>
  <c r="W51" i="29" s="1"/>
  <c r="X51" i="29" s="1"/>
  <c r="G52" i="29"/>
  <c r="H52" i="29"/>
  <c r="H59" i="27"/>
  <c r="Y50" i="29" l="1"/>
  <c r="AA50" i="29" s="1"/>
  <c r="AC50" i="29" s="1"/>
  <c r="J51" i="29"/>
  <c r="I52" i="29"/>
  <c r="S52" i="29" s="1"/>
  <c r="W52" i="29" s="1"/>
  <c r="X52" i="29" s="1"/>
  <c r="G53" i="29"/>
  <c r="H53" i="29"/>
  <c r="H60" i="27"/>
  <c r="Y51" i="29" l="1"/>
  <c r="AA51" i="29" s="1"/>
  <c r="AC51" i="29" s="1"/>
  <c r="J52" i="29"/>
  <c r="I53" i="29"/>
  <c r="S53" i="29" s="1"/>
  <c r="W53" i="29" s="1"/>
  <c r="X53" i="29" s="1"/>
  <c r="G54" i="29"/>
  <c r="H54" i="29"/>
  <c r="H61" i="27"/>
  <c r="Y52" i="29" l="1"/>
  <c r="AA52" i="29" s="1"/>
  <c r="AC52" i="29" s="1"/>
  <c r="J53" i="29"/>
  <c r="I54" i="29"/>
  <c r="S54" i="29" s="1"/>
  <c r="W54" i="29" s="1"/>
  <c r="X54" i="29" s="1"/>
  <c r="H55" i="29"/>
  <c r="G55" i="29"/>
  <c r="H62" i="27"/>
  <c r="Y53" i="29" l="1"/>
  <c r="AA53" i="29" s="1"/>
  <c r="AC53" i="29" s="1"/>
  <c r="J54" i="29"/>
  <c r="I55" i="29"/>
  <c r="S55" i="29" s="1"/>
  <c r="W55" i="29" s="1"/>
  <c r="X55" i="29" s="1"/>
  <c r="H56" i="29"/>
  <c r="G56" i="29"/>
  <c r="H63" i="27"/>
  <c r="Y54" i="29" l="1"/>
  <c r="AA54" i="29" s="1"/>
  <c r="AC54" i="29" s="1"/>
  <c r="J55" i="29"/>
  <c r="I56" i="29"/>
  <c r="S56" i="29" s="1"/>
  <c r="W56" i="29" s="1"/>
  <c r="X56" i="29" s="1"/>
  <c r="H57" i="29"/>
  <c r="G57" i="29"/>
  <c r="H64" i="27"/>
  <c r="Y55" i="29" l="1"/>
  <c r="AA55" i="29" s="1"/>
  <c r="AC55" i="29" s="1"/>
  <c r="J56" i="29"/>
  <c r="I57" i="29"/>
  <c r="S57" i="29" s="1"/>
  <c r="W57" i="29" s="1"/>
  <c r="X57" i="29" s="1"/>
  <c r="H58" i="29"/>
  <c r="G58" i="29"/>
  <c r="H65" i="27"/>
  <c r="Y56" i="29" l="1"/>
  <c r="AA56" i="29" s="1"/>
  <c r="AC56" i="29" s="1"/>
  <c r="J57" i="29"/>
  <c r="I58" i="29"/>
  <c r="S58" i="29" s="1"/>
  <c r="W58" i="29" s="1"/>
  <c r="X58" i="29" s="1"/>
  <c r="G59" i="29"/>
  <c r="H59" i="29"/>
  <c r="H66" i="27"/>
  <c r="Y57" i="29" l="1"/>
  <c r="AA57" i="29" s="1"/>
  <c r="AC57" i="29" s="1"/>
  <c r="J58" i="29"/>
  <c r="I59" i="29"/>
  <c r="S59" i="29" s="1"/>
  <c r="W59" i="29" s="1"/>
  <c r="X59" i="29" s="1"/>
  <c r="G60" i="29"/>
  <c r="H60" i="29"/>
  <c r="H67" i="27"/>
  <c r="Y58" i="29" l="1"/>
  <c r="AA58" i="29" s="1"/>
  <c r="AC58" i="29" s="1"/>
  <c r="J59" i="29"/>
  <c r="I60" i="29"/>
  <c r="S60" i="29" s="1"/>
  <c r="W60" i="29" s="1"/>
  <c r="X60" i="29" s="1"/>
  <c r="G61" i="29"/>
  <c r="H61" i="29"/>
  <c r="H68" i="27"/>
  <c r="Y59" i="29" l="1"/>
  <c r="AA59" i="29" s="1"/>
  <c r="AC59" i="29" s="1"/>
  <c r="J60" i="29"/>
  <c r="I61" i="29"/>
  <c r="S61" i="29" s="1"/>
  <c r="W61" i="29" s="1"/>
  <c r="X61" i="29" s="1"/>
  <c r="G62" i="29"/>
  <c r="H62" i="29"/>
  <c r="H69" i="27"/>
  <c r="Y60" i="29" l="1"/>
  <c r="AA60" i="29" s="1"/>
  <c r="AC60" i="29" s="1"/>
  <c r="J61" i="29"/>
  <c r="I62" i="29"/>
  <c r="S62" i="29" s="1"/>
  <c r="W62" i="29" s="1"/>
  <c r="X62" i="29" s="1"/>
  <c r="G63" i="29"/>
  <c r="H63" i="29"/>
  <c r="H70" i="27"/>
  <c r="Y61" i="29" l="1"/>
  <c r="AA61" i="29" s="1"/>
  <c r="AC61" i="29" s="1"/>
  <c r="J62" i="29"/>
  <c r="I63" i="29"/>
  <c r="S63" i="29" s="1"/>
  <c r="W63" i="29" s="1"/>
  <c r="X63" i="29" s="1"/>
  <c r="G64" i="29"/>
  <c r="H64" i="29"/>
  <c r="H71" i="27"/>
  <c r="Y62" i="29" l="1"/>
  <c r="AA62" i="29" s="1"/>
  <c r="AC62" i="29" s="1"/>
  <c r="J63" i="29"/>
  <c r="I64" i="29"/>
  <c r="S64" i="29" s="1"/>
  <c r="W64" i="29" s="1"/>
  <c r="X64" i="29" s="1"/>
  <c r="G65" i="29"/>
  <c r="H65" i="29"/>
  <c r="H72" i="27"/>
  <c r="Y63" i="29" l="1"/>
  <c r="AA63" i="29" s="1"/>
  <c r="AC63" i="29" s="1"/>
  <c r="J64" i="29"/>
  <c r="I65" i="29"/>
  <c r="S65" i="29" s="1"/>
  <c r="W65" i="29" s="1"/>
  <c r="X65" i="29" s="1"/>
  <c r="H66" i="29"/>
  <c r="G66" i="29"/>
  <c r="H73" i="27"/>
  <c r="Y64" i="29" l="1"/>
  <c r="AA64" i="29" s="1"/>
  <c r="AC64" i="29" s="1"/>
  <c r="J65" i="29"/>
  <c r="I66" i="29"/>
  <c r="S66" i="29" s="1"/>
  <c r="W66" i="29" s="1"/>
  <c r="X66" i="29" s="1"/>
  <c r="H67" i="29"/>
  <c r="G67" i="29"/>
  <c r="H74" i="27"/>
  <c r="Y65" i="29" l="1"/>
  <c r="AA65" i="29" s="1"/>
  <c r="AC65" i="29" s="1"/>
  <c r="J66" i="29"/>
  <c r="I67" i="29"/>
  <c r="S67" i="29" s="1"/>
  <c r="W67" i="29" s="1"/>
  <c r="X67" i="29" s="1"/>
  <c r="H68" i="29"/>
  <c r="G68" i="29"/>
  <c r="H75" i="27"/>
  <c r="Y66" i="29" l="1"/>
  <c r="AA66" i="29" s="1"/>
  <c r="AC66" i="29" s="1"/>
  <c r="J67" i="29"/>
  <c r="I68" i="29"/>
  <c r="S68" i="29" s="1"/>
  <c r="W68" i="29" s="1"/>
  <c r="X68" i="29" s="1"/>
  <c r="H69" i="29"/>
  <c r="G69" i="29"/>
  <c r="H76" i="27"/>
  <c r="Y67" i="29" l="1"/>
  <c r="AA67" i="29" s="1"/>
  <c r="AC67" i="29" s="1"/>
  <c r="J68" i="29"/>
  <c r="I69" i="29"/>
  <c r="S69" i="29" s="1"/>
  <c r="W69" i="29" s="1"/>
  <c r="X69" i="29" s="1"/>
  <c r="H70" i="29"/>
  <c r="G70" i="29"/>
  <c r="H77" i="27"/>
  <c r="Y68" i="29" l="1"/>
  <c r="AA68" i="29" s="1"/>
  <c r="AC68" i="29" s="1"/>
  <c r="J69" i="29"/>
  <c r="I70" i="29"/>
  <c r="S70" i="29" s="1"/>
  <c r="W70" i="29" s="1"/>
  <c r="X70" i="29" s="1"/>
  <c r="G71" i="29"/>
  <c r="H71" i="29"/>
  <c r="H78" i="27"/>
  <c r="Y69" i="29" l="1"/>
  <c r="AA69" i="29" s="1"/>
  <c r="AC69" i="29" s="1"/>
  <c r="J70" i="29"/>
  <c r="I71" i="29"/>
  <c r="S71" i="29" s="1"/>
  <c r="W71" i="29" s="1"/>
  <c r="X71" i="29" s="1"/>
  <c r="G73" i="29"/>
  <c r="H73" i="29"/>
  <c r="G72" i="29"/>
  <c r="H72" i="29"/>
  <c r="H80" i="27"/>
  <c r="H79" i="27"/>
  <c r="Y70" i="29" l="1"/>
  <c r="AA70" i="29" s="1"/>
  <c r="AC70" i="29" s="1"/>
  <c r="J71" i="29"/>
  <c r="I73" i="29"/>
  <c r="S73" i="29" s="1"/>
  <c r="W73" i="29" s="1"/>
  <c r="I72" i="29"/>
  <c r="S72" i="29" s="1"/>
  <c r="W72" i="29" s="1"/>
  <c r="X72" i="29" s="1"/>
  <c r="X73" i="29" l="1"/>
  <c r="X74" i="29"/>
  <c r="Y71" i="29"/>
  <c r="AA71" i="29" s="1"/>
  <c r="AC71" i="29" s="1"/>
  <c r="J72" i="29"/>
  <c r="J73" i="29"/>
  <c r="Y72" i="29" l="1"/>
  <c r="AA72" i="29" s="1"/>
  <c r="AC72" i="29" s="1"/>
  <c r="Y74" i="29"/>
  <c r="Y79" i="29"/>
  <c r="Y78" i="29"/>
  <c r="Y76" i="29"/>
  <c r="Y73" i="29"/>
  <c r="Y75" i="29"/>
  <c r="Y77" i="29"/>
  <c r="H102" i="12" l="1" a="1"/>
  <c r="H102" i="12" s="1"/>
  <c r="I100" i="12" s="1"/>
  <c r="AA77" i="29"/>
  <c r="AC77" i="29" s="1"/>
  <c r="AA75" i="29"/>
  <c r="AC75" i="29" s="1"/>
  <c r="AA73" i="29"/>
  <c r="AC73" i="29" s="1"/>
  <c r="AA76" i="29"/>
  <c r="AC76" i="29" s="1"/>
  <c r="AA78" i="29"/>
  <c r="AC78" i="29" s="1"/>
  <c r="AA79" i="29"/>
  <c r="AC79" i="29" s="1"/>
  <c r="AA74" i="29"/>
  <c r="AC74" i="29" s="1"/>
  <c r="F118" i="30" l="1"/>
  <c r="F68" i="30" s="1"/>
  <c r="G68" i="30" s="1"/>
  <c r="F96" i="30"/>
  <c r="F46" i="30" s="1"/>
  <c r="G46" i="30" s="1"/>
  <c r="F110" i="30"/>
  <c r="F60" i="30" s="1"/>
  <c r="G60" i="30" s="1"/>
  <c r="F102" i="30"/>
  <c r="F52" i="30" s="1"/>
  <c r="G52" i="30" s="1"/>
  <c r="F94" i="30"/>
  <c r="F44" i="30" s="1"/>
  <c r="G44" i="30" s="1"/>
  <c r="F111" i="30"/>
  <c r="F61" i="30" s="1"/>
  <c r="G61" i="30" s="1"/>
  <c r="F95" i="30"/>
  <c r="F45" i="30" s="1"/>
  <c r="G45" i="30" s="1"/>
  <c r="F117" i="30"/>
  <c r="F67" i="30" s="1"/>
  <c r="G67" i="30" s="1"/>
  <c r="F109" i="30"/>
  <c r="F59" i="30" s="1"/>
  <c r="G59" i="30" s="1"/>
  <c r="F101" i="30"/>
  <c r="F51" i="30" s="1"/>
  <c r="G51" i="30" s="1"/>
  <c r="F93" i="30"/>
  <c r="F43" i="30" s="1"/>
  <c r="G43" i="30" s="1"/>
  <c r="F103" i="30"/>
  <c r="F53" i="30" s="1"/>
  <c r="G53" i="30" s="1"/>
  <c r="F116" i="30"/>
  <c r="F66" i="30" s="1"/>
  <c r="G66" i="30" s="1"/>
  <c r="F108" i="30"/>
  <c r="F58" i="30" s="1"/>
  <c r="G58" i="30" s="1"/>
  <c r="F100" i="30"/>
  <c r="F50" i="30" s="1"/>
  <c r="G50" i="30" s="1"/>
  <c r="F92" i="30"/>
  <c r="F42" i="30" s="1"/>
  <c r="G42" i="30" s="1"/>
  <c r="F112" i="30"/>
  <c r="F62" i="30" s="1"/>
  <c r="G62" i="30" s="1"/>
  <c r="F114" i="30"/>
  <c r="F64" i="30" s="1"/>
  <c r="G64" i="30" s="1"/>
  <c r="F106" i="30"/>
  <c r="F56" i="30" s="1"/>
  <c r="G56" i="30" s="1"/>
  <c r="F98" i="30"/>
  <c r="F48" i="30" s="1"/>
  <c r="G48" i="30" s="1"/>
  <c r="F90" i="30"/>
  <c r="F40" i="30" s="1"/>
  <c r="G40" i="30" s="1"/>
  <c r="F104" i="30"/>
  <c r="F54" i="30" s="1"/>
  <c r="G54" i="30" s="1"/>
  <c r="F115" i="30"/>
  <c r="F65" i="30" s="1"/>
  <c r="G65" i="30" s="1"/>
  <c r="F107" i="30"/>
  <c r="F57" i="30" s="1"/>
  <c r="G57" i="30" s="1"/>
  <c r="F99" i="30"/>
  <c r="F49" i="30" s="1"/>
  <c r="G49" i="30" s="1"/>
  <c r="F91" i="30"/>
  <c r="F41" i="30" s="1"/>
  <c r="G41" i="30" s="1"/>
  <c r="F113" i="30"/>
  <c r="F63" i="30" s="1"/>
  <c r="G63" i="30" s="1"/>
  <c r="F105" i="30"/>
  <c r="F55" i="30" s="1"/>
  <c r="G55" i="30" s="1"/>
  <c r="F97" i="30"/>
  <c r="F47" i="30" s="1"/>
  <c r="G47" i="30" s="1"/>
  <c r="F89" i="30"/>
  <c r="F39" i="30" s="1"/>
  <c r="G39" i="30" s="1"/>
  <c r="E80" i="30"/>
  <c r="E81" i="30" l="1"/>
  <c r="E82" i="30" s="1"/>
  <c r="E83" i="30" s="1"/>
  <c r="E84" i="30" s="1"/>
  <c r="E85" i="30" s="1"/>
  <c r="E86" i="30" s="1"/>
  <c r="E87" i="30" s="1"/>
  <c r="E88" i="30" s="1"/>
  <c r="F88" i="30" s="1"/>
  <c r="F38" i="30" s="1"/>
  <c r="G38" i="30" s="1"/>
  <c r="F80" i="30"/>
  <c r="F30" i="30" s="1"/>
  <c r="G30" i="30" s="1"/>
  <c r="G90" i="28"/>
  <c r="G91" i="28"/>
  <c r="H91" i="28" s="1"/>
  <c r="F68" i="17" s="1"/>
  <c r="K68" i="17" s="1"/>
  <c r="I91" i="28"/>
  <c r="N68" i="31" s="1" a="1"/>
  <c r="N68" i="31" s="1"/>
  <c r="Q68" i="31" s="1"/>
  <c r="J91" i="28"/>
  <c r="H68" i="17" s="1"/>
  <c r="M68" i="17" s="1"/>
  <c r="F84" i="30" l="1"/>
  <c r="F34" i="30" s="1"/>
  <c r="G34" i="30" s="1"/>
  <c r="F82" i="30"/>
  <c r="F32" i="30" s="1"/>
  <c r="G32" i="30" s="1"/>
  <c r="F87" i="30"/>
  <c r="F37" i="30" s="1"/>
  <c r="G37" i="30" s="1"/>
  <c r="F85" i="30"/>
  <c r="F35" i="30" s="1"/>
  <c r="G35" i="30" s="1"/>
  <c r="F81" i="30"/>
  <c r="F31" i="30" s="1"/>
  <c r="G31" i="30" s="1"/>
  <c r="F86" i="30"/>
  <c r="F36" i="30" s="1"/>
  <c r="G36" i="30" s="1"/>
  <c r="F83" i="30"/>
  <c r="F33" i="30" s="1"/>
  <c r="G33" i="30" s="1"/>
  <c r="I90" i="28"/>
  <c r="H90" i="28"/>
  <c r="F67" i="17" s="1"/>
  <c r="K67" i="17" s="1"/>
  <c r="J90" i="28"/>
  <c r="H67" i="17" s="1"/>
  <c r="M67" i="17" s="1"/>
  <c r="K73" i="29" a="1"/>
  <c r="K73" i="29" s="1"/>
  <c r="N73" i="29" s="1"/>
  <c r="G68" i="17"/>
  <c r="L68" i="17" s="1"/>
  <c r="G67" i="17"/>
  <c r="L67" i="17" s="1"/>
  <c r="J69" i="30" a="1"/>
  <c r="J69" i="30" s="1"/>
  <c r="M69" i="30" s="1"/>
  <c r="K74" i="29" a="1"/>
  <c r="K74" i="29" s="1"/>
  <c r="N74" i="29" s="1"/>
  <c r="J68" i="30" l="1" a="1"/>
  <c r="J68" i="30" s="1"/>
  <c r="M68" i="30" s="1"/>
  <c r="N67" i="31" a="1"/>
  <c r="N67" i="31" s="1"/>
  <c r="Q67" i="31" s="1"/>
  <c r="Q74" i="29"/>
  <c r="R74" i="29"/>
  <c r="T74" i="29" s="1"/>
  <c r="Q73" i="29"/>
  <c r="R73" i="29"/>
  <c r="T73" i="29" s="1"/>
  <c r="U73" i="29" s="1"/>
  <c r="U74" i="29" l="1"/>
  <c r="U75" i="29"/>
  <c r="V74" i="29"/>
  <c r="Z74" i="29" s="1"/>
  <c r="AB74" i="29" s="1"/>
  <c r="V73" i="29"/>
  <c r="Z73" i="29" s="1"/>
  <c r="AB73" i="29" s="1"/>
  <c r="H30" i="12" l="1" a="1"/>
  <c r="H30" i="12" s="1"/>
  <c r="I2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tc={C4A73160-8240-4C3F-ACBF-6725FD451DB0}</author>
  </authors>
  <commentList>
    <comment ref="G50" authorId="0" shapeId="0" xr:uid="{C4A73160-8240-4C3F-ACBF-6725FD451DB0}">
      <text>
        <t>[Threaded comment]
Your version of Excel allows you to read this threaded comment; however, any edits to it will get removed if the file is opened in a newer version of Excel. Learn more: https://go.microsoft.com/fwlink/?linkid=870924
Comment:
    Assumes that there is no further increase in land area. Unknown if the catchment area target included land area increase.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<sst xmlns="http://schemas.openxmlformats.org/spreadsheetml/2006/main" count="558" uniqueCount="243">
  <si>
    <t>Main</t>
  </si>
  <si>
    <t>Inputs</t>
  </si>
  <si>
    <t>Outputs</t>
  </si>
  <si>
    <t>Scenarios</t>
  </si>
  <si>
    <t>Population</t>
  </si>
  <si>
    <t>Low</t>
  </si>
  <si>
    <t>High</t>
  </si>
  <si>
    <t>Demand</t>
  </si>
  <si>
    <t>Potable Water</t>
  </si>
  <si>
    <t>Supply</t>
  </si>
  <si>
    <t>Population Scenario</t>
  </si>
  <si>
    <t>Medium</t>
  </si>
  <si>
    <t>Conservation Efforts Model</t>
  </si>
  <si>
    <t>million m^3 per capita</t>
  </si>
  <si>
    <t>Year 2030 target per capita</t>
  </si>
  <si>
    <t>Year 2060 target per capita</t>
  </si>
  <si>
    <t>Water Tariff Model</t>
  </si>
  <si>
    <t>Rainfall Scenario</t>
  </si>
  <si>
    <t>Year of Price Hike</t>
  </si>
  <si>
    <t>Price Hike %</t>
  </si>
  <si>
    <t xml:space="preserve">Rainfall Model </t>
  </si>
  <si>
    <t># New Build Desalination Plant</t>
  </si>
  <si>
    <t>Amount of Rainfall</t>
  </si>
  <si>
    <t># New Build NEWater Plant</t>
  </si>
  <si>
    <t>Water Agreement End</t>
  </si>
  <si>
    <t>Year</t>
  </si>
  <si>
    <t>Number of Months of Reserve (Potable Water)</t>
  </si>
  <si>
    <t># of Months</t>
  </si>
  <si>
    <t># Plants</t>
  </si>
  <si>
    <t>Required by</t>
  </si>
  <si>
    <t>Blackbox Model</t>
  </si>
  <si>
    <t>Population Model</t>
  </si>
  <si>
    <t>from 'Main'</t>
  </si>
  <si>
    <t>Days in a Year</t>
  </si>
  <si>
    <t>Year 2030 target</t>
  </si>
  <si>
    <t>Year 2060 target</t>
  </si>
  <si>
    <t>Rainfall Sensitivity</t>
  </si>
  <si>
    <t>Model</t>
  </si>
  <si>
    <t>Potable Water Demand</t>
  </si>
  <si>
    <t>Non-Potable Water Demand</t>
  </si>
  <si>
    <t>Total  Demand</t>
  </si>
  <si>
    <t>Potable Water Supply</t>
  </si>
  <si>
    <t>Non-Potable Water Supply</t>
  </si>
  <si>
    <t>Total Supply</t>
  </si>
  <si>
    <t>Excess (+ve) / Shortfall (-ve)</t>
  </si>
  <si>
    <t>New Build (Desalination)</t>
  </si>
  <si>
    <t>New Build (NEWater)</t>
  </si>
  <si>
    <r>
      <t xml:space="preserve">Total Supply </t>
    </r>
    <r>
      <rPr>
        <b/>
        <sz val="11"/>
        <color rgb="FFC00000"/>
        <rFont val="Arial"/>
        <family val="2"/>
        <scheme val="minor"/>
      </rPr>
      <t>(NEW)</t>
    </r>
  </si>
  <si>
    <r>
      <t xml:space="preserve">Excess (+ve) / Shortfall (-ve) </t>
    </r>
    <r>
      <rPr>
        <b/>
        <sz val="11"/>
        <color rgb="FFC00000"/>
        <rFont val="Arial"/>
        <family val="2"/>
        <scheme val="minor"/>
      </rPr>
      <t>(NEW)</t>
    </r>
  </si>
  <si>
    <t>Domestic</t>
  </si>
  <si>
    <t>Non-Domestic</t>
  </si>
  <si>
    <t xml:space="preserve">Total </t>
  </si>
  <si>
    <t>Total + Reserve</t>
  </si>
  <si>
    <t>Industrial</t>
  </si>
  <si>
    <t>NEWater</t>
  </si>
  <si>
    <t>Total</t>
  </si>
  <si>
    <t>Water Catchment</t>
  </si>
  <si>
    <t>Desalination</t>
  </si>
  <si>
    <t>Imported</t>
  </si>
  <si>
    <t>Non-Potable</t>
  </si>
  <si>
    <t># of Additional Plants</t>
  </si>
  <si>
    <t>Required By</t>
  </si>
  <si>
    <t>Additional Volume</t>
  </si>
  <si>
    <t>Potable</t>
  </si>
  <si>
    <t>Total Water Demand</t>
  </si>
  <si>
    <t>Selected Scenario</t>
  </si>
  <si>
    <t>Data</t>
  </si>
  <si>
    <t>million m^3</t>
  </si>
  <si>
    <t xml:space="preserve">Domestic </t>
  </si>
  <si>
    <t xml:space="preserve">Non-Domestic </t>
  </si>
  <si>
    <t>Daily, per capita</t>
  </si>
  <si>
    <t>Annual</t>
  </si>
  <si>
    <t>Forecast Model</t>
  </si>
  <si>
    <t>Conservation Effectiveness</t>
  </si>
  <si>
    <t>Demand Sensitivity</t>
  </si>
  <si>
    <t>Data (Potable Water)</t>
  </si>
  <si>
    <t>Proportion of Domestic Potable Water Demand</t>
  </si>
  <si>
    <t>Proportion of Non-Domestic Potable Water Demand</t>
  </si>
  <si>
    <t>Average</t>
  </si>
  <si>
    <t>Forecast Model (Potable Water)</t>
  </si>
  <si>
    <t>Conservation Efforts Model (Potable Water)</t>
  </si>
  <si>
    <t>Price Sensitivity Model (Potable Water)</t>
  </si>
  <si>
    <t>Domestic
(Daily, per capita)</t>
  </si>
  <si>
    <t>*based on target of 0.13m^3 per person govt target in 2030</t>
  </si>
  <si>
    <t>Data (Annual)</t>
  </si>
  <si>
    <t>Proportion of Industrial supply VS NEWater supply</t>
  </si>
  <si>
    <t>Domestic Demand</t>
  </si>
  <si>
    <t>Non-Domestic Demand</t>
  </si>
  <si>
    <t>Proportion of Industrial Water Demand</t>
  </si>
  <si>
    <t>Proportion of NEWater</t>
  </si>
  <si>
    <t>Forecast model (Annual)</t>
  </si>
  <si>
    <t>Proportion of all others domestic portable vs all others</t>
  </si>
  <si>
    <t>Non-Domestic Demand (Annual)</t>
  </si>
  <si>
    <t>Domestic Water Demand</t>
  </si>
  <si>
    <t>Non-Domestic Water Demand</t>
  </si>
  <si>
    <t>Historical Data</t>
  </si>
  <si>
    <t>mm</t>
  </si>
  <si>
    <t>km^2</t>
  </si>
  <si>
    <t>Total Rainfall</t>
  </si>
  <si>
    <t>Land Area</t>
  </si>
  <si>
    <t>Water Loss (evaporation, soil absorbtion etc)</t>
  </si>
  <si>
    <t>Catchment
(% of land area)</t>
  </si>
  <si>
    <t>Catchment Area</t>
  </si>
  <si>
    <t>Maximum Water Supply</t>
  </si>
  <si>
    <t>Water Loss %</t>
  </si>
  <si>
    <t>Seepage loss %</t>
  </si>
  <si>
    <t>Other Inputs</t>
  </si>
  <si>
    <t>NEWater Capacity</t>
  </si>
  <si>
    <t>million m^3 per year</t>
  </si>
  <si>
    <t>Year Built</t>
  </si>
  <si>
    <t>Plant Name</t>
  </si>
  <si>
    <t>Capacity</t>
  </si>
  <si>
    <t>Bedok Newater Factory</t>
  </si>
  <si>
    <t>Kranji Newater Factory</t>
  </si>
  <si>
    <t>Seletar Newater Factory</t>
  </si>
  <si>
    <t>Decommissioned</t>
  </si>
  <si>
    <t>Keppel Seghers Newater Plant</t>
  </si>
  <si>
    <t>Sembcorp Newater Plant</t>
  </si>
  <si>
    <t>Bewg-Uesh Newater Plant</t>
  </si>
  <si>
    <t>Future Newater Plant Planning</t>
  </si>
  <si>
    <t xml:space="preserve">Capacity </t>
  </si>
  <si>
    <t>*The capacity of future Newater plant is assumed to be the average of the 3 latest plants.</t>
  </si>
  <si>
    <t>Desalination Plants Capacity</t>
  </si>
  <si>
    <t>SingSpring Desalination Plant</t>
  </si>
  <si>
    <t>Tuas South Desalination Plant</t>
  </si>
  <si>
    <t>Tuas Desalination Plant</t>
  </si>
  <si>
    <t>Marina East Desalination Plant</t>
  </si>
  <si>
    <t>Jurong Island Desalination Plant</t>
  </si>
  <si>
    <t>Future Desalination Plant Planning</t>
  </si>
  <si>
    <t>*The capacity of future desalination plant is assumed to be the average of the 3 latest plants.</t>
  </si>
  <si>
    <t>Volume of Imported Water</t>
  </si>
  <si>
    <t>million gallons / day</t>
  </si>
  <si>
    <t>million m^3 / day</t>
  </si>
  <si>
    <t>SGD / thousand gallons</t>
  </si>
  <si>
    <t>Water</t>
  </si>
  <si>
    <t>Volume</t>
  </si>
  <si>
    <t>Price (SGD) / thousand Gallons</t>
  </si>
  <si>
    <t>Buy (Raw Water)</t>
  </si>
  <si>
    <t>Sell (Treated Water)</t>
  </si>
  <si>
    <t>Remaining</t>
  </si>
  <si>
    <t>*1000 gallon = 4.54609 m^3</t>
  </si>
  <si>
    <t>Import water from Malaysia until 2061</t>
  </si>
  <si>
    <t>Volume of water per year</t>
  </si>
  <si>
    <t>million m^3 / year</t>
  </si>
  <si>
    <t>Population Forecast</t>
  </si>
  <si>
    <t>LOW</t>
  </si>
  <si>
    <t>MEDIUM</t>
  </si>
  <si>
    <t>HIGH</t>
  </si>
  <si>
    <t>Birth Rate</t>
  </si>
  <si>
    <t>world population review's projection</t>
  </si>
  <si>
    <t>Net Annual Migration</t>
  </si>
  <si>
    <t>Total Death Rate</t>
  </si>
  <si>
    <t>World Populations' Projections</t>
  </si>
  <si>
    <t>Scenario 1</t>
  </si>
  <si>
    <t>Supply and Demand Sensitivity (Water Conservation Efforts)</t>
  </si>
  <si>
    <t>Parameters</t>
  </si>
  <si>
    <t>million m^3 per capita per day</t>
  </si>
  <si>
    <t>million m^3 per capita per year</t>
  </si>
  <si>
    <t>Proportion Domestic to Potable</t>
  </si>
  <si>
    <t>Imported Water Cesases</t>
  </si>
  <si>
    <t>Water Reserve (no. months)</t>
  </si>
  <si>
    <t>Demand (On Target)</t>
  </si>
  <si>
    <t>Demand (Overachieve, Target -10%)</t>
  </si>
  <si>
    <t>Demand (Unerachieve, Target +10%)</t>
  </si>
  <si>
    <t>Supply (no additional plants)</t>
  </si>
  <si>
    <t>Total Potable + Reserve</t>
  </si>
  <si>
    <t>Total Non-Potable</t>
  </si>
  <si>
    <t>Total Potable</t>
  </si>
  <si>
    <t>NEWater (Non-Potable)</t>
  </si>
  <si>
    <t>Demand Forecast Model</t>
  </si>
  <si>
    <t>On Target</t>
  </si>
  <si>
    <t>Overachieve (Target -10%)</t>
  </si>
  <si>
    <t>Underachieve (Target +10%)</t>
  </si>
  <si>
    <t>Proportion Domestic to Others</t>
  </si>
  <si>
    <t>Proportion Non-Domestic to Others</t>
  </si>
  <si>
    <t>Target Annual, per capita</t>
  </si>
  <si>
    <t>Annual, per capita (with Price Hike)</t>
  </si>
  <si>
    <t>Annual, per capita</t>
  </si>
  <si>
    <t>Supply and Demand Trade-Off (Price Hike)</t>
  </si>
  <si>
    <t>Demand (0% Price Hike)</t>
  </si>
  <si>
    <t>Demand (3% Price Hike)</t>
  </si>
  <si>
    <t>Demand (6% Price Hike)</t>
  </si>
  <si>
    <t>Demand (9% Price Hike)</t>
  </si>
  <si>
    <t>Demand (12% Price Hike)</t>
  </si>
  <si>
    <t>Total Potable + 2 mths buffer</t>
  </si>
  <si>
    <t>Water Catchment (Low Rainfall)</t>
  </si>
  <si>
    <t>Water Catchment (Medium Rainfall)</t>
  </si>
  <si>
    <t>Water Catchment (High Rainfall)</t>
  </si>
  <si>
    <t>Total Potable (Low Rainfall)</t>
  </si>
  <si>
    <t>Total Potable (Medium Rainfall)</t>
  </si>
  <si>
    <t>Total Potable (High Rainfall)</t>
  </si>
  <si>
    <t>Target Consumption Rate per capita</t>
  </si>
  <si>
    <t>Year 2030</t>
  </si>
  <si>
    <t>Year 2060</t>
  </si>
  <si>
    <t>Price and Demand Sensitivity</t>
  </si>
  <si>
    <t>Price Hike</t>
  </si>
  <si>
    <t>Ref: https://www.researchgate.net/publication/242276472_Managing_Water_Demand_Price_vs_Non-Price_Conservation_Programs</t>
  </si>
  <si>
    <t>Blackbox</t>
  </si>
  <si>
    <t>DD Pot_Water</t>
  </si>
  <si>
    <t xml:space="preserve">It also takes into account the conservation efforts effectiveness (in percentage), and the price elasticity of demand. </t>
  </si>
  <si>
    <t>DD Water_Total</t>
  </si>
  <si>
    <t>This sheet references DD Pot_Water to forecast the total water demand in Singapore.</t>
  </si>
  <si>
    <t xml:space="preserve"> It takes consideration the growth in industrial sector demand for water, with respect to the domestic potable water demand. </t>
  </si>
  <si>
    <t>SS Water_CM</t>
  </si>
  <si>
    <t>SS NEWater</t>
  </si>
  <si>
    <t>SS Imported_Water</t>
  </si>
  <si>
    <t xml:space="preserve">It takes into account the Singapore government's plan for developing the water catchment areas to grow to 90% of the country's land area. </t>
  </si>
  <si>
    <t xml:space="preserve">Considerations for evaporation and seepage are also included. </t>
  </si>
  <si>
    <t xml:space="preserve">This sheet contains annual capacity information of existing NEWater plants. </t>
  </si>
  <si>
    <t>SS Desalin_Water</t>
  </si>
  <si>
    <t xml:space="preserve">This sheet contains annual capacity information of existing Desalination plants. </t>
  </si>
  <si>
    <t xml:space="preserve">This sheet contains daily capacity information of volume of water imported from, and sold to the State of Johore. </t>
  </si>
  <si>
    <t>Sensitivity Analysis</t>
  </si>
  <si>
    <t>This sheet illustrates the potable water demand in Singapore, referencing the population projection in Pop FCST.</t>
  </si>
  <si>
    <t>Pop FCST</t>
  </si>
  <si>
    <t>This sheet forecasts the Singapore population size based on 3 scenarios.</t>
  </si>
  <si>
    <t>Sensitivity_Conserve</t>
  </si>
  <si>
    <t>Trade-Off Analysis</t>
  </si>
  <si>
    <t>Tradeoff_Price</t>
  </si>
  <si>
    <t>This sheet helps to visualise the trade off between price and demand for water.</t>
  </si>
  <si>
    <t>This sheet helps to visualise the sensitivity of supply of potable water to the amount of rainfall experienced.</t>
  </si>
  <si>
    <t>As NEWater will be used to supply industrial water demand, we will assume the proportion will increase equally until 2060</t>
  </si>
  <si>
    <t>README</t>
  </si>
  <si>
    <t>Population Scenario, Conservation Efforts Effectiveness, Changes in Water Tariff, Amount of Rainfall Experienced, Premature Termination of Water Agreement, and Number of Months of Potable Water Reserve</t>
  </si>
  <si>
    <t>&gt;&gt; &gt;&gt; Blackbox</t>
  </si>
  <si>
    <t>&gt;&gt; &gt;&gt; Demand (DD Pot_Water, DD Water_Total)</t>
  </si>
  <si>
    <t>&gt;&gt; These inputs are referenced by the following sheets:</t>
  </si>
  <si>
    <t>This sheet serves as a blackbox calculation to Main, through determining when and how many NEWater and Desalination plants are required to be built, in order for Singapore to remain self sufficient.</t>
  </si>
  <si>
    <t>The number of NEWater and Desalination plants, and the total number of new plants to be build by the indicated year.</t>
  </si>
  <si>
    <t>There are also 3 buttons: LOW, EXPECTED, HIGH</t>
  </si>
  <si>
    <t>These are the parameters captured under these scenarios:</t>
  </si>
  <si>
    <t>Sensitivity_Rainfall</t>
  </si>
  <si>
    <t>Supply and Demand Sensitivity (Rainfall)</t>
  </si>
  <si>
    <t>The Main sheet controls the inputs to calculations in the BLACKBOX and demand sheets. You can adjust the inputs individually or choose from 3 preset scenarios (LOW, EXPECTED and HIGH).</t>
  </si>
  <si>
    <t>This sheet describes three different rainfall scenarios (based on 25th, 50th, and 75th percentile of historical rainfall) to determine the water collected in the water catchment areas.</t>
  </si>
  <si>
    <t>Price Elasticity of Demand</t>
  </si>
  <si>
    <t>This sheet helps to visualise how sensitive demand is with respect to conservation efforts.</t>
  </si>
  <si>
    <t>2020 Domestic Potable Water Demand per capita</t>
  </si>
  <si>
    <t>Months</t>
  </si>
  <si>
    <t>Potable Water Reserve (in months)</t>
  </si>
  <si>
    <t>Users may modify the inputs for Population, Rainfall, Conservation Efforts, Water Tariff (Year, % Hike, and Price Elasticity of Demand), as well as the Year of Ceasation of Water Agreement, and the months of Water Reserve for Potable Water.</t>
  </si>
  <si>
    <t>Users may modify the inputs for Population, Conservation Efforts, Water Tariff (Year, % Hike, and Price Elasticity of Demand), as well as the Year of Ceasation of Water Agreement, and the months of Water Reserve for Potable Water.</t>
  </si>
  <si>
    <t>Users may modify the inputs for Population, Conservation Efforts, Water Tariff (Year and Price Elasticity of Demand), as well as the Year of Ceasation of Water Agreement, and the months of Water Reserve for Potable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</si>
</sst>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00"/>
    <numFmt numFmtId="165" formatCode="0.0%"/>
    <numFmt numFmtId="166" formatCode="&quot;$&quot;#,##0"/>
    <numFmt numFmtId="167" formatCode="0.0"/>
  </numFmts>
  <fonts count="33">
    <font>
      <sz val="11"/>
      <color theme="1"/>
      <name val="Arial"/>
      <family val="2"/>
      <scheme val="minor"/>
    </font>
    <font>
      <b/>
      <sz val="11"/>
      <color theme="1"/>
      <name val="Arial"/>
      <family val="2"/>
      <scheme val="minor"/>
    </font>
    <font>
      <sz val="11"/>
      <color rgb="FF00B050"/>
      <name val="Arial"/>
      <family val="2"/>
      <scheme val="minor"/>
    </font>
    <font>
      <b/>
      <u/>
      <sz val="16"/>
      <color theme="1"/>
      <name val="Arial"/>
      <family val="2"/>
      <scheme val="minor"/>
    </font>
    <font>
      <sz val="11"/>
      <color rgb="FF0070C0"/>
      <name val="Arial"/>
      <family val="2"/>
    </font>
    <font>
      <sz val="11"/>
      <color rgb="FF00B050"/>
      <name val="Arial"/>
      <family val="2"/>
    </font>
    <font>
      <sz val="11"/>
      <color rgb="FF7030A0"/>
      <name val="Arial"/>
      <family val="2"/>
    </font>
    <font>
      <sz val="11"/>
      <color theme="1"/>
      <name val="Arial"/>
      <family val="2"/>
    </font>
    <font>
      <sz val="11"/>
      <name val="Arial"/>
      <family val="2"/>
    </font>
    <font>
      <i/>
      <sz val="11"/>
      <color indexed="16"/>
      <name val="Arial"/>
      <family val="2"/>
    </font>
    <font>
      <sz val="11"/>
      <color theme="1"/>
      <name val="Arial"/>
      <family val="2"/>
      <scheme val="minor"/>
    </font>
    <font>
      <sz val="11"/>
      <name val="Arial"/>
      <family val="2"/>
      <scheme val="minor"/>
    </font>
    <font>
      <i/>
      <sz val="11"/>
      <color rgb="FF7F7F7F"/>
      <name val="Arial"/>
      <family val="2"/>
      <scheme val="minor"/>
    </font>
    <font>
      <i/>
      <sz val="10"/>
      <color rgb="FF7F7F7F"/>
      <name val="Arial"/>
      <family val="2"/>
      <scheme val="minor"/>
    </font>
    <font>
      <sz val="11"/>
      <color rgb="FF008A3E"/>
      <name val="Arial"/>
      <family val="2"/>
      <scheme val="minor"/>
    </font>
    <font>
      <sz val="8"/>
      <name val="Futura Lt BT"/>
      <family val="2"/>
    </font>
    <font>
      <b/>
      <sz val="14"/>
      <color rgb="FFFF0000"/>
      <name val="Arial"/>
      <family val="2"/>
      <scheme val="minor"/>
    </font>
    <font>
      <b/>
      <sz val="11"/>
      <color rgb="FFFF0000"/>
      <name val="Arial"/>
      <family val="2"/>
      <scheme val="minor"/>
    </font>
    <font>
      <i/>
      <sz val="11"/>
      <color indexed="16"/>
      <name val="Arial"/>
      <family val="2"/>
      <scheme val="minor"/>
    </font>
    <font>
      <b/>
      <sz val="11"/>
      <name val="Arial"/>
      <family val="2"/>
      <scheme val="minor"/>
    </font>
    <font>
      <i/>
      <sz val="11"/>
      <color rgb="FFC00000"/>
      <name val="Arial"/>
      <family val="2"/>
      <scheme val="minor"/>
    </font>
    <font>
      <sz val="11"/>
      <color rgb="FF006600"/>
      <name val="Arial"/>
      <family val="2"/>
      <scheme val="minor"/>
    </font>
    <font>
      <i/>
      <sz val="10"/>
      <name val="Arial"/>
      <family val="2"/>
      <scheme val="minor"/>
    </font>
    <font>
      <i/>
      <sz val="11"/>
      <color theme="1"/>
      <name val="Arial"/>
      <family val="2"/>
      <scheme val="minor"/>
    </font>
    <font>
      <b/>
      <u/>
      <sz val="11"/>
      <color theme="1"/>
      <name val="Arial"/>
      <family val="2"/>
      <scheme val="minor"/>
    </font>
    <font>
      <b/>
      <i/>
      <sz val="11"/>
      <color theme="1"/>
      <name val="Arial"/>
      <family val="2"/>
      <scheme val="minor"/>
    </font>
    <font>
      <b/>
      <sz val="11"/>
      <color theme="0"/>
      <name val="Arial"/>
      <family val="2"/>
      <scheme val="minor"/>
    </font>
    <font>
      <b/>
      <sz val="11"/>
      <color theme="4" tint="-0.499984740745262"/>
      <name val="Arial"/>
      <family val="2"/>
      <scheme val="minor"/>
    </font>
    <font>
      <b/>
      <sz val="11"/>
      <color rgb="FFC00000"/>
      <name val="Arial"/>
      <family val="2"/>
      <scheme val="minor"/>
    </font>
    <font>
      <sz val="11"/>
      <color rgb="FF0070C0"/>
      <name val="Arial"/>
      <family val="2"/>
      <scheme val="minor"/>
    </font>
    <font>
      <sz val="11"/>
      <color rgb="FF7030A0"/>
      <name val="Arial"/>
      <family val="2"/>
      <scheme val="minor"/>
    </font>
    <font>
      <sz val="8"/>
      <name val="Arial"/>
      <family val="2"/>
      <scheme val="minor"/>
    </font>
    <font>
      <b/>
      <sz val="11"/>
      <color rgb="FF7030A0"/>
      <name val="Arial"/>
      <family val="2"/>
      <scheme val="minor"/>
    </font>
  </fonts>
  <fills count="13">
    <fill>
      <patternFill patternType="none"/>
    </fill>
    <fill>
      <patternFill patternType="gray125"/>
    </fill>
    <fill>
      <patternFill patternType="solid">
        <fgColor theme="5" tint="0.39997558519241921"/>
        <bgColor indexed="64"/>
      </patternFill>
    </fill>
    <fill>
      <patternFill patternType="solid">
        <fgColor theme="7" tint="0.3999450666829432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theme="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bgColor indexed="64"/>
      </patternFill>
    </fill>
    <fill>
      <patternFill patternType="solid">
        <fgColor theme="4" tint="0.59999389629810485"/>
        <bgColor indexed="64"/>
      </patternFill>
    </fill>
  </fills>
  <borders count="22">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double">
        <color theme="1" tint="0.499984740745262"/>
      </bottom>
      <diagonal/>
    </border>
    <border>
      <left/>
      <right/>
      <top style="thin">
        <color theme="1" tint="0.499984740745262"/>
      </top>
      <bottom style="double">
        <color theme="1" tint="0.499984740745262"/>
      </bottom>
      <diagonal/>
    </border>
    <border>
      <left style="thin">
        <color theme="1" tint="0.499984740745262"/>
      </left>
      <right style="thin">
        <color theme="1" tint="0.499984740745262"/>
      </right>
      <top/>
      <bottom/>
      <diagonal/>
    </border>
    <border>
      <left/>
      <right/>
      <top style="thin">
        <color theme="1" tint="0.499984740745262"/>
      </top>
      <bottom/>
      <diagonal/>
    </border>
    <border>
      <left/>
      <right/>
      <top/>
      <bottom style="thin">
        <color theme="1" tint="0.499984740745262"/>
      </bottom>
      <diagonal/>
    </border>
    <border>
      <left style="thin">
        <color theme="1" tint="0.499984740745262"/>
      </left>
      <right/>
      <top/>
      <bottom/>
      <diagonal/>
    </border>
    <border>
      <left style="thin">
        <color theme="1" tint="0.499984740745262"/>
      </left>
      <right/>
      <top/>
      <bottom style="thin">
        <color theme="1" tint="0.499984740745262"/>
      </bottom>
      <diagonal/>
    </border>
    <border>
      <left/>
      <right/>
      <top/>
      <bottom style="double">
        <color indexed="64"/>
      </bottom>
      <diagonal/>
    </border>
    <border>
      <left/>
      <right/>
      <top style="thin">
        <color theme="1" tint="0.499984740745262"/>
      </top>
      <bottom style="thin">
        <color theme="1" tint="0.499984740745262"/>
      </bottom>
      <diagonal/>
    </border>
    <border>
      <left/>
      <right style="thin">
        <color theme="1" tint="0.499984740745262"/>
      </right>
      <top/>
      <bottom/>
      <diagonal/>
    </border>
    <border>
      <left/>
      <right style="thin">
        <color theme="1" tint="0.499984740745262"/>
      </right>
      <top/>
      <bottom style="thin">
        <color theme="1"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1" tint="0.499984740745262"/>
      </left>
      <right/>
      <top style="thin">
        <color theme="1" tint="0.499984740745262"/>
      </top>
      <bottom/>
      <diagonal/>
    </border>
    <border>
      <left/>
      <right style="thin">
        <color theme="1" tint="0.499984740745262"/>
      </right>
      <top style="thin">
        <color theme="1" tint="0.499984740745262"/>
      </top>
      <bottom/>
      <diagonal/>
    </border>
  </borders>
  <cellStyleXfs count="12">
    <xf numFmtId="0" fontId="0" fillId="0" borderId="0"/>
    <xf numFmtId="0" fontId="4" fillId="0" borderId="0">
      <alignment horizontal="center" vertical="center"/>
    </xf>
    <xf numFmtId="0" fontId="5" fillId="0" borderId="0">
      <alignment horizontal="center" vertical="center"/>
    </xf>
    <xf numFmtId="0" fontId="6" fillId="0" borderId="0">
      <alignment horizontal="center" vertical="center"/>
    </xf>
    <xf numFmtId="0" fontId="7" fillId="0" borderId="0">
      <alignment horizontal="center" vertical="center"/>
    </xf>
    <xf numFmtId="0" fontId="8" fillId="3" borderId="0">
      <alignment horizontal="center" vertical="center"/>
    </xf>
    <xf numFmtId="0" fontId="8" fillId="4" borderId="0">
      <alignment horizontal="center" vertical="center"/>
    </xf>
    <xf numFmtId="0" fontId="9" fillId="0" borderId="0"/>
    <xf numFmtId="9" fontId="10" fillId="0" borderId="0" applyFont="0" applyFill="0" applyBorder="0" applyAlignment="0" applyProtection="0"/>
    <xf numFmtId="0" fontId="12" fillId="0" borderId="0" applyNumberFormat="0" applyFill="0" applyBorder="0" applyAlignment="0" applyProtection="0"/>
    <xf numFmtId="0" fontId="15" fillId="0" borderId="0" applyNumberFormat="0">
      <alignment horizontal="left"/>
    </xf>
    <xf numFmtId="43" fontId="10" fillId="0" borderId="0" applyFont="0" applyFill="0" applyBorder="0" applyAlignment="0" applyProtection="0"/>
  </cellStyleXfs>
  <cellXfs count="208">
    <xf numFmtId="0" fontId="0" fillId="0" borderId="0" xfId="0"/>
    <xf numFmtId="0" fontId="0" fillId="0" borderId="0" xfId="0" applyAlignment="1">
      <alignment horizontal="right" indent="1"/>
    </xf>
    <xf numFmtId="164" fontId="0" fillId="0" borderId="1" xfId="0" applyNumberFormat="1" applyBorder="1" applyAlignment="1">
      <alignment horizontal="center"/>
    </xf>
    <xf numFmtId="3" fontId="11" fillId="0" borderId="1" xfId="0" applyNumberFormat="1" applyFont="1" applyBorder="1" applyAlignment="1">
      <alignment horizontal="center"/>
    </xf>
    <xf numFmtId="0" fontId="0" fillId="0" borderId="1" xfId="0" applyBorder="1" applyAlignment="1">
      <alignment horizontal="left"/>
    </xf>
    <xf numFmtId="164" fontId="11" fillId="0" borderId="1" xfId="0" applyNumberFormat="1"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3" fillId="0" borderId="0" xfId="0" applyFont="1"/>
    <xf numFmtId="0" fontId="1" fillId="2" borderId="1" xfId="0" applyFont="1" applyFill="1" applyBorder="1" applyAlignment="1">
      <alignment horizontal="center"/>
    </xf>
    <xf numFmtId="0" fontId="9" fillId="0" borderId="0" xfId="7"/>
    <xf numFmtId="0" fontId="0" fillId="0" borderId="0" xfId="0" applyAlignment="1">
      <alignment horizontal="left"/>
    </xf>
    <xf numFmtId="0" fontId="2" fillId="0" borderId="0" xfId="0" applyFont="1" applyAlignment="1">
      <alignment horizontal="center"/>
    </xf>
    <xf numFmtId="0" fontId="1" fillId="0" borderId="0" xfId="0" applyFont="1" applyAlignment="1">
      <alignment horizontal="center"/>
    </xf>
    <xf numFmtId="0" fontId="13" fillId="0" borderId="0" xfId="9" applyFont="1" applyAlignment="1">
      <alignment horizontal="center"/>
    </xf>
    <xf numFmtId="0" fontId="1" fillId="2" borderId="1" xfId="0" applyFont="1" applyFill="1" applyBorder="1" applyAlignment="1">
      <alignment horizontal="center" vertical="center"/>
    </xf>
    <xf numFmtId="11" fontId="11" fillId="0" borderId="1" xfId="0" applyNumberFormat="1" applyFont="1" applyBorder="1" applyAlignment="1">
      <alignment horizontal="center"/>
    </xf>
    <xf numFmtId="0" fontId="1" fillId="2" borderId="1" xfId="0" applyFont="1" applyFill="1" applyBorder="1" applyAlignment="1">
      <alignment horizontal="center" wrapText="1"/>
    </xf>
    <xf numFmtId="0" fontId="0" fillId="0" borderId="1" xfId="0" applyBorder="1"/>
    <xf numFmtId="0" fontId="6" fillId="0" borderId="1" xfId="3" applyBorder="1">
      <alignment horizontal="center" vertical="center"/>
    </xf>
    <xf numFmtId="3" fontId="14" fillId="0" borderId="1" xfId="0" applyNumberFormat="1" applyFont="1" applyBorder="1" applyAlignment="1">
      <alignment horizontal="center"/>
    </xf>
    <xf numFmtId="164" fontId="14" fillId="0" borderId="1" xfId="0" applyNumberFormat="1" applyFont="1" applyBorder="1" applyAlignment="1">
      <alignment horizontal="center"/>
    </xf>
    <xf numFmtId="10" fontId="0" fillId="0" borderId="1" xfId="8" applyNumberFormat="1" applyFont="1" applyBorder="1" applyAlignment="1">
      <alignment horizontal="center"/>
    </xf>
    <xf numFmtId="0" fontId="0" fillId="6" borderId="0" xfId="0" applyFill="1"/>
    <xf numFmtId="0" fontId="1" fillId="7" borderId="1" xfId="0" applyFont="1" applyFill="1" applyBorder="1" applyAlignment="1">
      <alignment horizontal="center" vertical="center"/>
    </xf>
    <xf numFmtId="0" fontId="1" fillId="7" borderId="1" xfId="0" applyFont="1" applyFill="1" applyBorder="1" applyAlignment="1">
      <alignment horizontal="center" wrapText="1"/>
    </xf>
    <xf numFmtId="164" fontId="11" fillId="5" borderId="1" xfId="0" applyNumberFormat="1" applyFont="1" applyFill="1" applyBorder="1" applyAlignment="1">
      <alignment horizontal="center"/>
    </xf>
    <xf numFmtId="3" fontId="0" fillId="0" borderId="1" xfId="0" applyNumberFormat="1" applyBorder="1" applyAlignment="1">
      <alignment horizontal="center"/>
    </xf>
    <xf numFmtId="0" fontId="0" fillId="0" borderId="5" xfId="0" applyBorder="1"/>
    <xf numFmtId="3" fontId="14" fillId="0" borderId="0" xfId="0" applyNumberFormat="1" applyFont="1" applyAlignment="1">
      <alignment horizontal="center"/>
    </xf>
    <xf numFmtId="164" fontId="0" fillId="0" borderId="1" xfId="0" applyNumberFormat="1" applyBorder="1" applyAlignment="1">
      <alignment horizontal="center" vertical="center"/>
    </xf>
    <xf numFmtId="0" fontId="14" fillId="0" borderId="1" xfId="0" applyFont="1" applyBorder="1" applyAlignment="1">
      <alignment horizontal="center"/>
    </xf>
    <xf numFmtId="0" fontId="14" fillId="0" borderId="1" xfId="0" applyFont="1" applyBorder="1" applyAlignment="1">
      <alignment horizontal="center" vertical="center"/>
    </xf>
    <xf numFmtId="0" fontId="20" fillId="0" borderId="0" xfId="0" applyFont="1"/>
    <xf numFmtId="0" fontId="0" fillId="0" borderId="1" xfId="0" applyBorder="1" applyAlignment="1">
      <alignment horizontal="center" vertical="center"/>
    </xf>
    <xf numFmtId="0" fontId="13" fillId="0" borderId="0" xfId="9" applyFont="1" applyBorder="1" applyAlignment="1">
      <alignment horizontal="center"/>
    </xf>
    <xf numFmtId="4" fontId="21" fillId="0" borderId="1" xfId="11" applyNumberFormat="1" applyFont="1" applyBorder="1" applyAlignment="1">
      <alignment horizontal="center" vertical="center"/>
    </xf>
    <xf numFmtId="4" fontId="0" fillId="0" borderId="1" xfId="11" applyNumberFormat="1" applyFont="1" applyBorder="1" applyAlignment="1">
      <alignment horizontal="center" vertical="center"/>
    </xf>
    <xf numFmtId="0" fontId="1" fillId="6" borderId="0" xfId="0" applyFont="1" applyFill="1"/>
    <xf numFmtId="0" fontId="1" fillId="7" borderId="1" xfId="0" applyFont="1" applyFill="1" applyBorder="1" applyAlignment="1">
      <alignment horizontal="center"/>
    </xf>
    <xf numFmtId="164" fontId="0" fillId="0" borderId="0" xfId="0" applyNumberFormat="1" applyAlignment="1">
      <alignment horizontal="center"/>
    </xf>
    <xf numFmtId="166" fontId="0" fillId="0" borderId="0" xfId="0" applyNumberFormat="1" applyAlignment="1">
      <alignment horizontal="center"/>
    </xf>
    <xf numFmtId="11" fontId="0" fillId="0" borderId="1" xfId="0" applyNumberFormat="1" applyBorder="1" applyAlignment="1">
      <alignment horizontal="center"/>
    </xf>
    <xf numFmtId="11" fontId="0" fillId="0" borderId="0" xfId="0" applyNumberFormat="1"/>
    <xf numFmtId="0" fontId="9" fillId="0" borderId="0" xfId="7" applyAlignment="1">
      <alignment horizontal="left" vertical="top"/>
    </xf>
    <xf numFmtId="11" fontId="0" fillId="0" borderId="0" xfId="0" applyNumberFormat="1" applyAlignment="1">
      <alignment horizontal="center"/>
    </xf>
    <xf numFmtId="2" fontId="0" fillId="0" borderId="0" xfId="0" applyNumberFormat="1"/>
    <xf numFmtId="3" fontId="11" fillId="0" borderId="0" xfId="0" applyNumberFormat="1" applyFont="1" applyAlignment="1">
      <alignment horizontal="center"/>
    </xf>
    <xf numFmtId="11" fontId="11" fillId="0" borderId="0" xfId="0" applyNumberFormat="1" applyFont="1" applyAlignment="1">
      <alignment horizontal="center"/>
    </xf>
    <xf numFmtId="164" fontId="11" fillId="0" borderId="0" xfId="0" applyNumberFormat="1" applyFont="1" applyAlignment="1">
      <alignment horizontal="center"/>
    </xf>
    <xf numFmtId="1" fontId="0" fillId="0" borderId="1" xfId="0" applyNumberFormat="1" applyBorder="1" applyAlignment="1">
      <alignment horizontal="center"/>
    </xf>
    <xf numFmtId="9" fontId="0" fillId="0" borderId="1" xfId="8" applyFont="1" applyBorder="1" applyAlignment="1">
      <alignment horizontal="center"/>
    </xf>
    <xf numFmtId="9" fontId="0" fillId="0" borderId="0" xfId="8" applyFont="1"/>
    <xf numFmtId="11" fontId="0" fillId="9" borderId="1" xfId="0" applyNumberFormat="1" applyFill="1" applyBorder="1" applyAlignment="1">
      <alignment horizontal="center"/>
    </xf>
    <xf numFmtId="167" fontId="0" fillId="0" borderId="1" xfId="8" applyNumberFormat="1" applyFont="1" applyBorder="1" applyAlignment="1">
      <alignment horizontal="center"/>
    </xf>
    <xf numFmtId="2" fontId="11" fillId="0" borderId="1" xfId="8" applyNumberFormat="1" applyFont="1" applyBorder="1" applyAlignment="1">
      <alignment horizontal="center"/>
    </xf>
    <xf numFmtId="0" fontId="0" fillId="0" borderId="0" xfId="0" applyAlignment="1">
      <alignment horizontal="center" vertical="center"/>
    </xf>
    <xf numFmtId="0" fontId="17" fillId="0" borderId="0" xfId="0" applyFont="1"/>
    <xf numFmtId="0" fontId="22" fillId="0" borderId="0" xfId="9" applyFont="1" applyAlignment="1">
      <alignment horizontal="center"/>
    </xf>
    <xf numFmtId="0" fontId="23" fillId="0" borderId="0" xfId="0" applyFont="1"/>
    <xf numFmtId="0" fontId="0" fillId="0" borderId="0" xfId="0" applyAlignment="1">
      <alignment vertical="top" wrapText="1"/>
    </xf>
    <xf numFmtId="9" fontId="0" fillId="0" borderId="0" xfId="0" applyNumberFormat="1"/>
    <xf numFmtId="0" fontId="1" fillId="2" borderId="1" xfId="0" applyFont="1" applyFill="1" applyBorder="1" applyAlignment="1">
      <alignment horizontal="center" vertical="center" wrapText="1"/>
    </xf>
    <xf numFmtId="0" fontId="25" fillId="0" borderId="0" xfId="0" applyFont="1" applyAlignment="1">
      <alignment horizontal="right" indent="1"/>
    </xf>
    <xf numFmtId="2" fontId="0" fillId="0" borderId="1" xfId="0" applyNumberFormat="1" applyBorder="1" applyAlignment="1">
      <alignment horizontal="center"/>
    </xf>
    <xf numFmtId="0" fontId="0" fillId="0" borderId="0" xfId="0" applyAlignment="1">
      <alignment wrapText="1"/>
    </xf>
    <xf numFmtId="0" fontId="0" fillId="0" borderId="0" xfId="0" applyAlignment="1">
      <alignment horizontal="left" wrapText="1"/>
    </xf>
    <xf numFmtId="0" fontId="0" fillId="0" borderId="1" xfId="0" applyBorder="1" applyAlignment="1">
      <alignment horizontal="center" wrapText="1"/>
    </xf>
    <xf numFmtId="0" fontId="1" fillId="0" borderId="0" xfId="0" applyFont="1" applyAlignment="1">
      <alignment horizontal="center" wrapText="1"/>
    </xf>
    <xf numFmtId="9" fontId="0" fillId="0" borderId="0" xfId="0" applyNumberFormat="1" applyAlignment="1">
      <alignment horizontal="center"/>
    </xf>
    <xf numFmtId="9" fontId="0" fillId="0" borderId="0" xfId="8" applyFont="1" applyBorder="1" applyAlignment="1">
      <alignment horizontal="center"/>
    </xf>
    <xf numFmtId="9" fontId="0" fillId="0" borderId="14" xfId="0" applyNumberFormat="1" applyBorder="1" applyAlignment="1">
      <alignment horizontal="center"/>
    </xf>
    <xf numFmtId="9" fontId="0" fillId="0" borderId="1" xfId="8" applyFont="1" applyBorder="1" applyAlignment="1">
      <alignment horizontal="center" wrapText="1"/>
    </xf>
    <xf numFmtId="9" fontId="11" fillId="0" borderId="1" xfId="8" applyFont="1" applyBorder="1" applyAlignment="1">
      <alignment horizontal="center"/>
    </xf>
    <xf numFmtId="2" fontId="11" fillId="0" borderId="0" xfId="8" applyNumberFormat="1" applyFont="1" applyBorder="1" applyAlignment="1">
      <alignment horizontal="center"/>
    </xf>
    <xf numFmtId="0" fontId="1" fillId="7" borderId="1" xfId="0" applyFont="1" applyFill="1" applyBorder="1" applyAlignment="1">
      <alignment horizontal="center" vertical="center" wrapText="1"/>
    </xf>
    <xf numFmtId="9" fontId="0" fillId="0" borderId="14" xfId="8" applyFont="1" applyBorder="1" applyAlignment="1">
      <alignment horizontal="center"/>
    </xf>
    <xf numFmtId="0" fontId="1" fillId="2" borderId="2" xfId="0" applyFont="1" applyFill="1" applyBorder="1" applyAlignment="1">
      <alignment horizontal="center" vertical="center"/>
    </xf>
    <xf numFmtId="9" fontId="0" fillId="0" borderId="2" xfId="8" applyFont="1" applyBorder="1" applyAlignment="1">
      <alignment horizontal="center" vertical="center"/>
    </xf>
    <xf numFmtId="165" fontId="0" fillId="0" borderId="1" xfId="8" applyNumberFormat="1" applyFont="1" applyBorder="1" applyAlignment="1">
      <alignment horizontal="center" vertical="center"/>
    </xf>
    <xf numFmtId="0" fontId="0" fillId="0" borderId="12" xfId="0" applyBorder="1" applyAlignment="1">
      <alignment horizontal="center"/>
    </xf>
    <xf numFmtId="164" fontId="0" fillId="10" borderId="1" xfId="0" applyNumberFormat="1" applyFill="1" applyBorder="1" applyAlignment="1">
      <alignment horizontal="center"/>
    </xf>
    <xf numFmtId="165" fontId="0" fillId="0" borderId="0" xfId="8" applyNumberFormat="1" applyFont="1" applyBorder="1" applyAlignment="1">
      <alignment horizontal="center" vertical="center"/>
    </xf>
    <xf numFmtId="4" fontId="0" fillId="0" borderId="0" xfId="11" applyNumberFormat="1" applyFont="1" applyBorder="1" applyAlignment="1">
      <alignment horizontal="center" vertical="center"/>
    </xf>
    <xf numFmtId="4" fontId="11" fillId="0" borderId="1" xfId="11" applyNumberFormat="1" applyFont="1" applyBorder="1" applyAlignment="1">
      <alignment horizontal="center" vertical="center"/>
    </xf>
    <xf numFmtId="164" fontId="0" fillId="5" borderId="1" xfId="0" applyNumberFormat="1" applyFill="1" applyBorder="1" applyAlignment="1">
      <alignment horizontal="center"/>
    </xf>
    <xf numFmtId="0" fontId="1" fillId="2" borderId="18" xfId="0" applyFont="1" applyFill="1" applyBorder="1" applyAlignment="1">
      <alignment horizontal="center" vertical="center"/>
    </xf>
    <xf numFmtId="9" fontId="0" fillId="0" borderId="19" xfId="8" applyFont="1" applyBorder="1" applyAlignment="1">
      <alignment horizontal="center" vertical="center"/>
    </xf>
    <xf numFmtId="0" fontId="1" fillId="2" borderId="1" xfId="0" applyFont="1" applyFill="1" applyBorder="1" applyAlignment="1">
      <alignment horizontal="right" indent="1"/>
    </xf>
    <xf numFmtId="0" fontId="1" fillId="5" borderId="1" xfId="0" applyFont="1" applyFill="1" applyBorder="1" applyAlignment="1">
      <alignment horizontal="center"/>
    </xf>
    <xf numFmtId="0" fontId="0" fillId="0" borderId="20" xfId="0" applyBorder="1" applyAlignment="1">
      <alignment horizontal="center"/>
    </xf>
    <xf numFmtId="0" fontId="0" fillId="0" borderId="10" xfId="0" applyBorder="1"/>
    <xf numFmtId="0" fontId="0" fillId="0" borderId="21" xfId="0" applyBorder="1"/>
    <xf numFmtId="0" fontId="0" fillId="0" borderId="16" xfId="0" applyBorder="1"/>
    <xf numFmtId="0" fontId="0" fillId="0" borderId="13" xfId="0" applyBorder="1" applyAlignment="1">
      <alignment horizontal="center"/>
    </xf>
    <xf numFmtId="0" fontId="0" fillId="0" borderId="11" xfId="0" applyBorder="1" applyAlignment="1">
      <alignment horizontal="center"/>
    </xf>
    <xf numFmtId="0" fontId="0" fillId="0" borderId="17" xfId="0" applyBorder="1"/>
    <xf numFmtId="0" fontId="0" fillId="0" borderId="11" xfId="0" applyBorder="1"/>
    <xf numFmtId="0" fontId="0" fillId="0" borderId="10" xfId="0" applyBorder="1" applyAlignment="1">
      <alignment horizontal="center"/>
    </xf>
    <xf numFmtId="0" fontId="0" fillId="0" borderId="20" xfId="0" applyBorder="1"/>
    <xf numFmtId="0" fontId="0" fillId="0" borderId="12" xfId="0" applyBorder="1"/>
    <xf numFmtId="0" fontId="18" fillId="0" borderId="0" xfId="7" applyFont="1"/>
    <xf numFmtId="0" fontId="0" fillId="0" borderId="13" xfId="0" applyBorder="1"/>
    <xf numFmtId="0" fontId="0" fillId="0" borderId="17" xfId="0" applyBorder="1" applyAlignment="1">
      <alignment horizontal="center"/>
    </xf>
    <xf numFmtId="0" fontId="19" fillId="0" borderId="7" xfId="0" applyFont="1" applyBorder="1" applyAlignment="1">
      <alignment horizontal="center"/>
    </xf>
    <xf numFmtId="0" fontId="19" fillId="0" borderId="8" xfId="0" applyFont="1" applyBorder="1" applyAlignment="1">
      <alignment horizontal="center" vertical="center"/>
    </xf>
    <xf numFmtId="4" fontId="21" fillId="0" borderId="1" xfId="11" applyNumberFormat="1" applyFont="1" applyFill="1" applyBorder="1" applyAlignment="1">
      <alignment horizontal="center" vertical="center"/>
    </xf>
    <xf numFmtId="0" fontId="1" fillId="7" borderId="3" xfId="0" applyFont="1" applyFill="1" applyBorder="1" applyAlignment="1">
      <alignment horizontal="center" vertical="center" wrapText="1"/>
    </xf>
    <xf numFmtId="0" fontId="13" fillId="0" borderId="0" xfId="9" applyFont="1" applyAlignment="1">
      <alignment horizontal="center" wrapText="1"/>
    </xf>
    <xf numFmtId="9" fontId="0" fillId="0" borderId="1" xfId="0" applyNumberFormat="1" applyBorder="1" applyAlignment="1">
      <alignment horizontal="center"/>
    </xf>
    <xf numFmtId="2" fontId="11" fillId="0" borderId="1" xfId="0" applyNumberFormat="1" applyFont="1" applyBorder="1" applyAlignment="1">
      <alignment horizontal="center"/>
    </xf>
    <xf numFmtId="2" fontId="11" fillId="5" borderId="1" xfId="0" applyNumberFormat="1" applyFont="1" applyFill="1" applyBorder="1" applyAlignment="1">
      <alignment horizontal="center"/>
    </xf>
    <xf numFmtId="0" fontId="9" fillId="7" borderId="1" xfId="7" applyFill="1" applyBorder="1"/>
    <xf numFmtId="9" fontId="1" fillId="7" borderId="1" xfId="8" applyFont="1" applyFill="1" applyBorder="1" applyAlignment="1">
      <alignment horizontal="center" vertical="center" wrapText="1"/>
    </xf>
    <xf numFmtId="9" fontId="1" fillId="7" borderId="3" xfId="8" applyFont="1" applyFill="1" applyBorder="1" applyAlignment="1">
      <alignment horizontal="center" vertical="center" wrapText="1"/>
    </xf>
    <xf numFmtId="0" fontId="1" fillId="2" borderId="6" xfId="0" applyFont="1" applyFill="1" applyBorder="1" applyAlignment="1">
      <alignment horizontal="center"/>
    </xf>
    <xf numFmtId="0" fontId="1" fillId="0" borderId="0" xfId="0" applyFont="1" applyAlignment="1">
      <alignment horizontal="right" indent="1"/>
    </xf>
    <xf numFmtId="0" fontId="9" fillId="0" borderId="0" xfId="7" applyAlignment="1">
      <alignment horizontal="left"/>
    </xf>
    <xf numFmtId="10" fontId="0" fillId="0" borderId="0" xfId="0" applyNumberFormat="1" applyAlignment="1">
      <alignment horizontal="center"/>
    </xf>
    <xf numFmtId="0" fontId="0" fillId="0" borderId="6" xfId="0" applyBorder="1" applyAlignment="1">
      <alignment horizontal="center" vertical="center"/>
    </xf>
    <xf numFmtId="167" fontId="1" fillId="0" borderId="0" xfId="0" applyNumberFormat="1" applyFont="1" applyAlignment="1">
      <alignment horizontal="center"/>
    </xf>
    <xf numFmtId="164" fontId="1" fillId="0" borderId="0" xfId="0" applyNumberFormat="1" applyFont="1" applyAlignment="1">
      <alignment horizontal="center"/>
    </xf>
    <xf numFmtId="0" fontId="24" fillId="6" borderId="0" xfId="0" applyFont="1" applyFill="1"/>
    <xf numFmtId="0" fontId="1" fillId="7" borderId="6" xfId="0" applyFont="1" applyFill="1" applyBorder="1" applyAlignment="1">
      <alignment horizontal="center" vertical="center" wrapText="1"/>
    </xf>
    <xf numFmtId="165" fontId="0" fillId="0" borderId="5" xfId="8" applyNumberFormat="1" applyFont="1" applyBorder="1" applyAlignment="1">
      <alignment horizontal="center" vertical="center"/>
    </xf>
    <xf numFmtId="4" fontId="0" fillId="0" borderId="4" xfId="11" applyNumberFormat="1" applyFont="1" applyBorder="1" applyAlignment="1">
      <alignment horizontal="center" vertical="center"/>
    </xf>
    <xf numFmtId="4" fontId="0" fillId="5" borderId="1" xfId="11" applyNumberFormat="1" applyFont="1" applyFill="1" applyBorder="1" applyAlignment="1">
      <alignment horizontal="center" vertical="center"/>
    </xf>
    <xf numFmtId="164" fontId="1" fillId="0" borderId="8" xfId="0" applyNumberFormat="1" applyFont="1" applyBorder="1" applyAlignment="1">
      <alignment horizontal="center"/>
    </xf>
    <xf numFmtId="0" fontId="29" fillId="0" borderId="0" xfId="0" applyFont="1"/>
    <xf numFmtId="2" fontId="0" fillId="0" borderId="1" xfId="0" quotePrefix="1" applyNumberFormat="1" applyBorder="1" applyAlignment="1">
      <alignment horizontal="center"/>
    </xf>
    <xf numFmtId="0" fontId="29" fillId="0" borderId="0" xfId="0" applyFont="1" applyAlignment="1">
      <alignment horizontal="center"/>
    </xf>
    <xf numFmtId="0" fontId="19" fillId="0" borderId="0" xfId="9" applyFont="1" applyFill="1" applyBorder="1" applyAlignment="1">
      <alignment vertical="center"/>
    </xf>
    <xf numFmtId="0" fontId="1" fillId="0" borderId="0" xfId="0" applyFont="1" applyAlignment="1">
      <alignment horizontal="center" vertical="center" wrapText="1"/>
    </xf>
    <xf numFmtId="2" fontId="0" fillId="0" borderId="0" xfId="0" applyNumberFormat="1" applyAlignment="1">
      <alignment horizontal="center"/>
    </xf>
    <xf numFmtId="0" fontId="13" fillId="0" borderId="0" xfId="9" applyFont="1" applyAlignment="1">
      <alignment horizontal="center" vertical="center" wrapText="1"/>
    </xf>
    <xf numFmtId="0" fontId="0" fillId="0" borderId="0" xfId="0" applyAlignment="1">
      <alignment vertical="center"/>
    </xf>
    <xf numFmtId="0" fontId="0" fillId="6" borderId="0" xfId="0" applyFont="1" applyFill="1"/>
    <xf numFmtId="164" fontId="14" fillId="0" borderId="0" xfId="0" applyNumberFormat="1" applyFont="1" applyFill="1" applyBorder="1" applyAlignment="1">
      <alignment horizontal="center"/>
    </xf>
    <xf numFmtId="0" fontId="0" fillId="0" borderId="0" xfId="0" applyFill="1"/>
    <xf numFmtId="0" fontId="1" fillId="0" borderId="0" xfId="0" applyFont="1" applyFill="1"/>
    <xf numFmtId="0" fontId="0" fillId="0" borderId="0" xfId="0" applyFont="1" applyFill="1"/>
    <xf numFmtId="11" fontId="0" fillId="0" borderId="1" xfId="0" applyNumberFormat="1" applyFill="1" applyBorder="1" applyAlignment="1">
      <alignment horizontal="center"/>
    </xf>
    <xf numFmtId="0" fontId="27" fillId="0" borderId="1" xfId="0" applyFont="1" applyBorder="1" applyAlignment="1" applyProtection="1">
      <alignment horizontal="center"/>
      <protection locked="0"/>
    </xf>
    <xf numFmtId="11" fontId="27" fillId="0" borderId="1" xfId="0" applyNumberFormat="1" applyFont="1" applyBorder="1" applyAlignment="1" applyProtection="1">
      <alignment horizontal="center"/>
      <protection locked="0"/>
    </xf>
    <xf numFmtId="9" fontId="27" fillId="0" borderId="1" xfId="8" applyFont="1" applyFill="1" applyBorder="1" applyAlignment="1" applyProtection="1">
      <alignment horizontal="center"/>
      <protection locked="0"/>
    </xf>
    <xf numFmtId="0" fontId="11" fillId="0" borderId="1" xfId="0" applyFont="1" applyBorder="1" applyAlignment="1">
      <alignment horizontal="center"/>
    </xf>
    <xf numFmtId="0" fontId="30" fillId="0" borderId="1" xfId="0" applyFont="1" applyBorder="1" applyAlignment="1" applyProtection="1">
      <alignment horizontal="center"/>
      <protection locked="0"/>
    </xf>
    <xf numFmtId="11" fontId="29" fillId="0" borderId="1" xfId="0" applyNumberFormat="1" applyFont="1" applyBorder="1" applyAlignment="1" applyProtection="1">
      <alignment horizontal="center"/>
      <protection locked="0"/>
    </xf>
    <xf numFmtId="1" fontId="29" fillId="0" borderId="1" xfId="0" applyNumberFormat="1" applyFont="1" applyBorder="1" applyAlignment="1" applyProtection="1">
      <alignment horizontal="center" vertical="center"/>
      <protection locked="0"/>
    </xf>
    <xf numFmtId="9" fontId="29" fillId="0" borderId="1" xfId="8" applyFont="1" applyBorder="1" applyAlignment="1" applyProtection="1">
      <alignment horizontal="center" vertical="center"/>
      <protection locked="0"/>
    </xf>
    <xf numFmtId="2" fontId="30" fillId="0" borderId="1" xfId="8" applyNumberFormat="1" applyFont="1" applyBorder="1" applyAlignment="1" applyProtection="1">
      <alignment horizontal="center" vertical="center"/>
      <protection locked="0"/>
    </xf>
    <xf numFmtId="0" fontId="30" fillId="0" borderId="1" xfId="8" applyNumberFormat="1" applyFont="1" applyBorder="1" applyAlignment="1" applyProtection="1">
      <alignment horizontal="center" vertical="center"/>
      <protection locked="0"/>
    </xf>
    <xf numFmtId="0" fontId="29" fillId="0" borderId="1" xfId="0" applyFont="1" applyBorder="1" applyAlignment="1" applyProtection="1">
      <alignment horizontal="center" vertical="center"/>
      <protection locked="0"/>
    </xf>
    <xf numFmtId="11" fontId="0" fillId="0" borderId="1" xfId="0" applyNumberFormat="1" applyFill="1" applyBorder="1" applyAlignment="1">
      <alignment horizontal="center" vertical="center"/>
    </xf>
    <xf numFmtId="9" fontId="21" fillId="0" borderId="1" xfId="0" applyNumberFormat="1" applyFont="1" applyFill="1" applyBorder="1" applyAlignment="1">
      <alignment horizontal="center" vertical="center"/>
    </xf>
    <xf numFmtId="11" fontId="21" fillId="0" borderId="1" xfId="0" applyNumberFormat="1" applyFont="1" applyFill="1" applyBorder="1" applyAlignment="1">
      <alignment horizontal="center" vertical="center"/>
    </xf>
    <xf numFmtId="0" fontId="30" fillId="0" borderId="1" xfId="0" applyFont="1" applyBorder="1" applyAlignment="1" applyProtection="1">
      <alignment horizontal="center" vertical="center"/>
      <protection locked="0"/>
    </xf>
    <xf numFmtId="11" fontId="29" fillId="0" borderId="1" xfId="0" applyNumberFormat="1" applyFont="1" applyBorder="1" applyAlignment="1" applyProtection="1">
      <alignment horizontal="center" vertical="center"/>
      <protection locked="0"/>
    </xf>
    <xf numFmtId="0" fontId="0" fillId="0" borderId="0" xfId="0" applyFill="1" applyAlignment="1">
      <alignment horizontal="center"/>
    </xf>
    <xf numFmtId="1" fontId="29" fillId="0" borderId="1" xfId="0" applyNumberFormat="1" applyFont="1" applyFill="1" applyBorder="1" applyAlignment="1" applyProtection="1">
      <alignment horizontal="center" vertical="center"/>
      <protection locked="0"/>
    </xf>
    <xf numFmtId="2" fontId="30" fillId="0" borderId="1" xfId="8" applyNumberFormat="1" applyFont="1" applyFill="1" applyBorder="1" applyAlignment="1" applyProtection="1">
      <alignment horizontal="center" vertical="center"/>
      <protection locked="0"/>
    </xf>
    <xf numFmtId="0" fontId="0" fillId="0" borderId="0" xfId="0" applyFill="1" applyAlignment="1">
      <alignment vertical="center"/>
    </xf>
    <xf numFmtId="0" fontId="32" fillId="0" borderId="1" xfId="0" applyFont="1" applyBorder="1" applyAlignment="1" applyProtection="1">
      <alignment horizontal="center"/>
      <protection locked="0"/>
    </xf>
    <xf numFmtId="9" fontId="32" fillId="0" borderId="1" xfId="0" applyNumberFormat="1" applyFont="1" applyBorder="1" applyAlignment="1" applyProtection="1">
      <alignment horizontal="center"/>
      <protection locked="0"/>
    </xf>
    <xf numFmtId="0" fontId="26" fillId="11" borderId="5" xfId="0" applyFont="1" applyFill="1" applyBorder="1" applyAlignment="1">
      <alignment horizontal="center"/>
    </xf>
    <xf numFmtId="0" fontId="26" fillId="11" borderId="15" xfId="0" applyFont="1" applyFill="1" applyBorder="1" applyAlignment="1">
      <alignment horizontal="center"/>
    </xf>
    <xf numFmtId="0" fontId="26" fillId="11" borderId="6" xfId="0" applyFont="1" applyFill="1" applyBorder="1" applyAlignment="1">
      <alignment horizontal="center"/>
    </xf>
    <xf numFmtId="0" fontId="1" fillId="7" borderId="1"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6" xfId="0" applyFont="1" applyFill="1" applyBorder="1" applyAlignment="1">
      <alignment horizontal="center" vertical="center"/>
    </xf>
    <xf numFmtId="0" fontId="1" fillId="7" borderId="1" xfId="0" applyFont="1" applyFill="1" applyBorder="1" applyAlignment="1">
      <alignment horizontal="center" vertical="center" wrapText="1"/>
    </xf>
    <xf numFmtId="0" fontId="1" fillId="7" borderId="1" xfId="0" applyFont="1" applyFill="1" applyBorder="1" applyAlignment="1">
      <alignment horizontal="center"/>
    </xf>
    <xf numFmtId="0" fontId="1" fillId="2" borderId="1" xfId="0" applyFont="1" applyFill="1" applyBorder="1" applyAlignment="1">
      <alignment horizontal="center" vertical="center"/>
    </xf>
    <xf numFmtId="0" fontId="19" fillId="2" borderId="1" xfId="0" applyFont="1" applyFill="1" applyBorder="1" applyAlignment="1">
      <alignment horizontal="center" vertical="center"/>
    </xf>
    <xf numFmtId="0" fontId="1" fillId="2" borderId="1" xfId="0" applyFont="1" applyFill="1" applyBorder="1" applyAlignment="1">
      <alignment horizontal="center" vertical="center" wrapText="1"/>
    </xf>
    <xf numFmtId="10" fontId="0" fillId="0" borderId="3" xfId="8" applyNumberFormat="1" applyFont="1" applyBorder="1" applyAlignment="1">
      <alignment horizontal="center" vertical="center"/>
    </xf>
    <xf numFmtId="10" fontId="0" fillId="0" borderId="9" xfId="8" applyNumberFormat="1" applyFont="1" applyBorder="1" applyAlignment="1">
      <alignment horizontal="center" vertical="center"/>
    </xf>
    <xf numFmtId="10" fontId="0" fillId="0" borderId="4" xfId="8" applyNumberFormat="1" applyFont="1" applyBorder="1" applyAlignment="1">
      <alignment horizontal="center" vertical="center"/>
    </xf>
    <xf numFmtId="9" fontId="0" fillId="0" borderId="1" xfId="8" applyFont="1" applyBorder="1" applyAlignment="1">
      <alignment horizontal="center"/>
    </xf>
    <xf numFmtId="9" fontId="1" fillId="0" borderId="8" xfId="0" applyNumberFormat="1" applyFont="1" applyBorder="1" applyAlignment="1">
      <alignment horizontal="center"/>
    </xf>
    <xf numFmtId="0" fontId="0" fillId="0" borderId="0" xfId="0" applyAlignment="1">
      <alignment horizontal="center" vertical="top" wrapText="1"/>
    </xf>
    <xf numFmtId="0" fontId="1" fillId="2" borderId="5" xfId="0" applyFont="1" applyFill="1" applyBorder="1" applyAlignment="1">
      <alignment horizontal="center" wrapText="1"/>
    </xf>
    <xf numFmtId="0" fontId="1" fillId="2" borderId="6" xfId="0" applyFont="1" applyFill="1" applyBorder="1" applyAlignment="1">
      <alignment horizontal="center" wrapText="1"/>
    </xf>
    <xf numFmtId="0" fontId="19" fillId="7" borderId="1" xfId="0" applyFont="1" applyFill="1" applyBorder="1" applyAlignment="1">
      <alignment horizontal="center" vertical="center"/>
    </xf>
    <xf numFmtId="0" fontId="1" fillId="7" borderId="5" xfId="0" applyFont="1" applyFill="1" applyBorder="1" applyAlignment="1">
      <alignment horizontal="center" wrapText="1"/>
    </xf>
    <xf numFmtId="0" fontId="1" fillId="7" borderId="6" xfId="0" applyFont="1" applyFill="1" applyBorder="1" applyAlignment="1">
      <alignment horizontal="center" wrapText="1"/>
    </xf>
    <xf numFmtId="0" fontId="16" fillId="8" borderId="0" xfId="0" applyFont="1" applyFill="1" applyAlignment="1">
      <alignment horizontal="center"/>
    </xf>
    <xf numFmtId="0" fontId="1" fillId="7" borderId="15" xfId="0" applyFont="1" applyFill="1" applyBorder="1" applyAlignment="1">
      <alignment horizontal="center" vertical="center" wrapText="1"/>
    </xf>
    <xf numFmtId="0" fontId="1" fillId="7" borderId="6" xfId="0" applyFont="1" applyFill="1" applyBorder="1" applyAlignment="1">
      <alignment horizontal="center" vertical="center" wrapText="1"/>
    </xf>
    <xf numFmtId="0" fontId="1" fillId="7" borderId="5" xfId="0" applyFont="1" applyFill="1" applyBorder="1" applyAlignment="1">
      <alignment horizontal="center" vertical="center" wrapText="1"/>
    </xf>
    <xf numFmtId="0" fontId="1" fillId="7" borderId="20" xfId="0" applyFont="1" applyFill="1" applyBorder="1" applyAlignment="1">
      <alignment horizontal="center" vertical="center" wrapText="1"/>
    </xf>
    <xf numFmtId="0" fontId="1" fillId="7" borderId="13" xfId="0" applyFont="1" applyFill="1" applyBorder="1" applyAlignment="1">
      <alignment horizontal="center" vertical="center" wrapText="1"/>
    </xf>
    <xf numFmtId="0" fontId="1" fillId="0" borderId="0" xfId="0" applyFont="1" applyAlignment="1">
      <alignment horizontal="right" indent="1"/>
    </xf>
    <xf numFmtId="0" fontId="1" fillId="7" borderId="3" xfId="0" applyFont="1" applyFill="1" applyBorder="1" applyAlignment="1">
      <alignment horizontal="center" vertical="center" wrapText="1"/>
    </xf>
    <xf numFmtId="0" fontId="1" fillId="7" borderId="9" xfId="0" applyFont="1" applyFill="1" applyBorder="1" applyAlignment="1">
      <alignment horizontal="center" vertical="center" wrapText="1"/>
    </xf>
    <xf numFmtId="0" fontId="1" fillId="2" borderId="1" xfId="0" applyFont="1" applyFill="1" applyBorder="1" applyAlignment="1">
      <alignment horizontal="right" wrapText="1" indent="1"/>
    </xf>
    <xf numFmtId="0" fontId="1" fillId="2" borderId="5" xfId="0" applyFont="1" applyFill="1" applyBorder="1" applyAlignment="1">
      <alignment horizontal="right" indent="1"/>
    </xf>
    <xf numFmtId="0" fontId="1" fillId="2" borderId="6" xfId="0" applyFont="1" applyFill="1" applyBorder="1" applyAlignment="1">
      <alignment horizontal="right" indent="1"/>
    </xf>
    <xf numFmtId="0" fontId="1" fillId="12" borderId="1" xfId="0" applyFont="1" applyFill="1" applyBorder="1" applyAlignment="1">
      <alignment horizontal="right" indent="1"/>
    </xf>
    <xf numFmtId="0" fontId="19" fillId="7" borderId="5" xfId="9" applyFont="1" applyFill="1" applyBorder="1" applyAlignment="1">
      <alignment horizontal="center" vertical="center"/>
    </xf>
    <xf numFmtId="0" fontId="19" fillId="7" borderId="6" xfId="9" applyFont="1" applyFill="1" applyBorder="1" applyAlignment="1">
      <alignment horizontal="center" vertical="center"/>
    </xf>
    <xf numFmtId="0" fontId="1" fillId="7" borderId="5" xfId="0" applyFont="1" applyFill="1" applyBorder="1" applyAlignment="1">
      <alignment horizontal="center" vertical="center"/>
    </xf>
    <xf numFmtId="0" fontId="1" fillId="7" borderId="15" xfId="0" applyFont="1" applyFill="1" applyBorder="1" applyAlignment="1">
      <alignment horizontal="center" vertical="center"/>
    </xf>
    <xf numFmtId="0" fontId="1" fillId="7" borderId="6" xfId="0" applyFont="1" applyFill="1" applyBorder="1" applyAlignment="1">
      <alignment horizontal="center" vertical="center"/>
    </xf>
    <xf numFmtId="0" fontId="1" fillId="7" borderId="3" xfId="0" applyFont="1" applyFill="1" applyBorder="1" applyAlignment="1">
      <alignment horizontal="center" vertical="center"/>
    </xf>
    <xf numFmtId="0" fontId="1" fillId="7" borderId="4" xfId="0" applyFont="1" applyFill="1" applyBorder="1" applyAlignment="1">
      <alignment horizontal="center" vertical="center"/>
    </xf>
    <xf numFmtId="0" fontId="1" fillId="7" borderId="4" xfId="0" applyFont="1" applyFill="1" applyBorder="1" applyAlignment="1">
      <alignment horizontal="center" vertical="center" wrapText="1"/>
    </xf>
  </cellXfs>
  <cellStyles count="12">
    <cellStyle name="[I] Decision" xfId="1" xr:uid="{35CC151A-740D-4172-9B37-DFACABD52868}"/>
    <cellStyle name="[I] Historical" xfId="2" xr:uid="{048B8C7F-823C-48CD-8478-FEBDE3623777}"/>
    <cellStyle name="[I] Parameter" xfId="3" xr:uid="{D4421C50-F608-45DA-91D9-DBDE4EB73686}"/>
    <cellStyle name="[O] Intermediate" xfId="4" xr:uid="{0164C5EA-DC01-467B-8FC4-ACCE8976D367}"/>
    <cellStyle name="[O] Key Result" xfId="5" xr:uid="{D345CD1B-8F57-466E-AE47-5B357D817B7C}"/>
    <cellStyle name="[O] Results" xfId="6" xr:uid="{13FF7B06-901E-46B8-9ACE-A9E6B44F564E}"/>
    <cellStyle name="Comma" xfId="11" builtinId="3"/>
    <cellStyle name="Explanatory Text" xfId="9" builtinId="53"/>
    <cellStyle name="foot left" xfId="10" xr:uid="{173C0BC1-0A37-44BC-9A90-90F657AADCD9}"/>
    <cellStyle name="Header" xfId="7" xr:uid="{700F8F23-36A6-4BA1-92DC-C9B83711388F}"/>
    <cellStyle name="Normal" xfId="0" builtinId="0"/>
    <cellStyle name="Percent" xfId="8" builtinId="5"/>
  </cellStyles>
  <dxfs count="4">
    <dxf>
      <fill>
        <patternFill patternType="lightUp">
          <fgColor theme="3"/>
          <bgColor theme="0" tint="-0.24994659260841701"/>
        </patternFill>
      </fill>
    </dxf>
    <dxf>
      <fill>
        <patternFill patternType="lightUp">
          <fgColor theme="3"/>
          <bgColor theme="0" tint="-0.24994659260841701"/>
        </patternFill>
      </fill>
    </dxf>
    <dxf>
      <fill>
        <patternFill patternType="lightUp">
          <fgColor theme="3"/>
          <bgColor theme="0" tint="-0.34998626667073579"/>
        </patternFill>
      </fill>
    </dxf>
    <dxf>
      <fill>
        <patternFill patternType="lightUp">
          <fgColor theme="3"/>
          <bgColor theme="0" tint="-0.34998626667073579"/>
        </patternFill>
      </fill>
    </dxf>
  </dxfs>
  <tableStyles count="0" defaultTableStyle="TableStyleMedium2" defaultPivotStyle="PivotStyleLight16"/>
  <colors>
    <mruColors>
      <color rgb="FFCCFFCC"/>
      <color rgb="FF006600"/>
      <color rgb="FF008A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Non-Potable Water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Non-Potable Water Demand Total</c:v>
          </c:tx>
          <c:spPr>
            <a:ln w="28575" cap="rnd">
              <a:solidFill>
                <a:srgbClr val="C00000"/>
              </a:solidFill>
              <a:round/>
            </a:ln>
            <a:effectLst/>
          </c:spPr>
          <c:marker>
            <c:symbol val="none"/>
          </c:marker>
          <c:cat>
            <c:numRef>
              <c:f>BLACKBOX!$B$35:$B$79</c:f>
              <c:numCache>
                <c:formatCode>General</c:formatCode>
                <c:ptCount val="4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pt idx="40">
                  <c:v>2061</c:v>
                </c:pt>
                <c:pt idx="41">
                  <c:v>2062</c:v>
                </c:pt>
                <c:pt idx="42">
                  <c:v>2063</c:v>
                </c:pt>
                <c:pt idx="43">
                  <c:v>2064</c:v>
                </c:pt>
                <c:pt idx="44">
                  <c:v>2065</c:v>
                </c:pt>
              </c:numCache>
            </c:numRef>
          </c:cat>
          <c:val>
            <c:numRef>
              <c:f>BLACKBOX!$I$35:$I$79</c:f>
              <c:numCache>
                <c:formatCode>0.000</c:formatCode>
                <c:ptCount val="45"/>
                <c:pt idx="0">
                  <c:v>117.49723066292705</c:v>
                </c:pt>
                <c:pt idx="1">
                  <c:v>123.56712497714446</c:v>
                </c:pt>
                <c:pt idx="2">
                  <c:v>129.67819605592661</c:v>
                </c:pt>
                <c:pt idx="3">
                  <c:v>135.82591504601785</c:v>
                </c:pt>
                <c:pt idx="4">
                  <c:v>142.00547445989028</c:v>
                </c:pt>
                <c:pt idx="5">
                  <c:v>148.21177262103939</c:v>
                </c:pt>
                <c:pt idx="6">
                  <c:v>154.43939712615236</c:v>
                </c:pt>
                <c:pt idx="7">
                  <c:v>160.68260725182074</c:v>
                </c:pt>
                <c:pt idx="8">
                  <c:v>166.93531522734125</c:v>
                </c:pt>
                <c:pt idx="9">
                  <c:v>173.19106628841459</c:v>
                </c:pt>
                <c:pt idx="10">
                  <c:v>182.42518887558739</c:v>
                </c:pt>
                <c:pt idx="11">
                  <c:v>191.97671920774616</c:v>
                </c:pt>
                <c:pt idx="12">
                  <c:v>201.85670588242306</c:v>
                </c:pt>
                <c:pt idx="13">
                  <c:v>212.07669134218679</c:v>
                </c:pt>
                <c:pt idx="14">
                  <c:v>222.64873975686044</c:v>
                </c:pt>
                <c:pt idx="15">
                  <c:v>233.58546681963736</c:v>
                </c:pt>
                <c:pt idx="16">
                  <c:v>244.90007161221604</c:v>
                </c:pt>
                <c:pt idx="17">
                  <c:v>256.60637070860918</c:v>
                </c:pt>
                <c:pt idx="18">
                  <c:v>268.71883470337264</c:v>
                </c:pt>
                <c:pt idx="19">
                  <c:v>277.87759583941079</c:v>
                </c:pt>
                <c:pt idx="20">
                  <c:v>290.69296388571047</c:v>
                </c:pt>
                <c:pt idx="21">
                  <c:v>303.95679191905117</c:v>
                </c:pt>
                <c:pt idx="22">
                  <c:v>317.68637784662076</c:v>
                </c:pt>
                <c:pt idx="23">
                  <c:v>331.89988989781409</c:v>
                </c:pt>
                <c:pt idx="24">
                  <c:v>346.61642207509834</c:v>
                </c:pt>
                <c:pt idx="25">
                  <c:v>361.85605390423893</c:v>
                </c:pt>
                <c:pt idx="26">
                  <c:v>377.63991487799586</c:v>
                </c:pt>
                <c:pt idx="27">
                  <c:v>393.99025402923746</c:v>
                </c:pt>
                <c:pt idx="28">
                  <c:v>410.93051511631847</c:v>
                </c:pt>
                <c:pt idx="29">
                  <c:v>428.48541795622532</c:v>
                </c:pt>
                <c:pt idx="30">
                  <c:v>446.68104650019609</c:v>
                </c:pt>
                <c:pt idx="31">
                  <c:v>465.54494431319222</c:v>
                </c:pt>
                <c:pt idx="32">
                  <c:v>485.10621819380015</c:v>
                </c:pt>
                <c:pt idx="33">
                  <c:v>505.39565075609494</c:v>
                </c:pt>
                <c:pt idx="34">
                  <c:v>526.44582289114237</c:v>
                </c:pt>
                <c:pt idx="35">
                  <c:v>548.29124713480439</c:v>
                </c:pt>
                <c:pt idx="36">
                  <c:v>570.96851309227702</c:v>
                </c:pt>
                <c:pt idx="37">
                  <c:v>594.51644621060677</c:v>
                </c:pt>
                <c:pt idx="38">
                  <c:v>618.97628135093009</c:v>
                </c:pt>
                <c:pt idx="39">
                  <c:v>644.39185279548667</c:v>
                </c:pt>
                <c:pt idx="40">
                  <c:v>651.41519316513336</c:v>
                </c:pt>
                <c:pt idx="41">
                  <c:v>658.49191092158992</c:v>
                </c:pt>
                <c:pt idx="42">
                  <c:v>665.62241173299515</c:v>
                </c:pt>
                <c:pt idx="43">
                  <c:v>672.80710435056722</c:v>
                </c:pt>
                <c:pt idx="44">
                  <c:v>680.04640063203294</c:v>
                </c:pt>
              </c:numCache>
            </c:numRef>
          </c:val>
          <c:smooth val="0"/>
          <c:extLst>
            <c:ext xmlns:c16="http://schemas.microsoft.com/office/drawing/2014/chart" uri="{C3380CC4-5D6E-409C-BE32-E72D297353CC}">
              <c16:uniqueId val="{00000001-1137-4DA3-8976-B78804F2C646}"/>
            </c:ext>
          </c:extLst>
        </c:ser>
        <c:ser>
          <c:idx val="0"/>
          <c:order val="1"/>
          <c:tx>
            <c:v>Non-Potable Water Supply Total</c:v>
          </c:tx>
          <c:spPr>
            <a:ln w="28575" cap="rnd">
              <a:solidFill>
                <a:schemeClr val="accent2"/>
              </a:solidFill>
              <a:round/>
            </a:ln>
            <a:effectLst/>
          </c:spPr>
          <c:marker>
            <c:symbol val="none"/>
          </c:marker>
          <c:cat>
            <c:numRef>
              <c:f>BLACKBOX!$B$35:$B$79</c:f>
              <c:numCache>
                <c:formatCode>General</c:formatCode>
                <c:ptCount val="4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pt idx="40">
                  <c:v>2061</c:v>
                </c:pt>
                <c:pt idx="41">
                  <c:v>2062</c:v>
                </c:pt>
                <c:pt idx="42">
                  <c:v>2063</c:v>
                </c:pt>
                <c:pt idx="43">
                  <c:v>2064</c:v>
                </c:pt>
                <c:pt idx="44">
                  <c:v>2065</c:v>
                </c:pt>
              </c:numCache>
            </c:numRef>
          </c:cat>
          <c:val>
            <c:numRef>
              <c:f>BLACKBOX!$AA$35:$AA$79</c:f>
              <c:numCache>
                <c:formatCode>0.000</c:formatCode>
                <c:ptCount val="45"/>
                <c:pt idx="0">
                  <c:v>247.39999999999998</c:v>
                </c:pt>
                <c:pt idx="1">
                  <c:v>247.39999999999998</c:v>
                </c:pt>
                <c:pt idx="2">
                  <c:v>247.39999999999998</c:v>
                </c:pt>
                <c:pt idx="3">
                  <c:v>247.39999999999998</c:v>
                </c:pt>
                <c:pt idx="4">
                  <c:v>247.39999999999998</c:v>
                </c:pt>
                <c:pt idx="5">
                  <c:v>247.39999999999998</c:v>
                </c:pt>
                <c:pt idx="6">
                  <c:v>247.39999999999998</c:v>
                </c:pt>
                <c:pt idx="7">
                  <c:v>247.39999999999998</c:v>
                </c:pt>
                <c:pt idx="8">
                  <c:v>247.39999999999998</c:v>
                </c:pt>
                <c:pt idx="9">
                  <c:v>247.39999999999998</c:v>
                </c:pt>
                <c:pt idx="10">
                  <c:v>247.39999999999998</c:v>
                </c:pt>
                <c:pt idx="11">
                  <c:v>247.39999999999998</c:v>
                </c:pt>
                <c:pt idx="12">
                  <c:v>247.39999999999998</c:v>
                </c:pt>
                <c:pt idx="13">
                  <c:v>247.39999999999998</c:v>
                </c:pt>
                <c:pt idx="14">
                  <c:v>247.39999999999998</c:v>
                </c:pt>
                <c:pt idx="15">
                  <c:v>247.39999999999998</c:v>
                </c:pt>
                <c:pt idx="16">
                  <c:v>247.39999999999998</c:v>
                </c:pt>
                <c:pt idx="17">
                  <c:v>320.89999999999998</c:v>
                </c:pt>
                <c:pt idx="18">
                  <c:v>320.89999999999998</c:v>
                </c:pt>
                <c:pt idx="19">
                  <c:v>320.89999999999998</c:v>
                </c:pt>
                <c:pt idx="20">
                  <c:v>320.89999999999998</c:v>
                </c:pt>
                <c:pt idx="21">
                  <c:v>320.89999999999998</c:v>
                </c:pt>
                <c:pt idx="22">
                  <c:v>320.89999999999998</c:v>
                </c:pt>
                <c:pt idx="23">
                  <c:v>394.4</c:v>
                </c:pt>
                <c:pt idx="24">
                  <c:v>394.4</c:v>
                </c:pt>
                <c:pt idx="25">
                  <c:v>394.4</c:v>
                </c:pt>
                <c:pt idx="26">
                  <c:v>394.4</c:v>
                </c:pt>
                <c:pt idx="27">
                  <c:v>394.4</c:v>
                </c:pt>
                <c:pt idx="28">
                  <c:v>467.9</c:v>
                </c:pt>
                <c:pt idx="29">
                  <c:v>467.9</c:v>
                </c:pt>
                <c:pt idx="30">
                  <c:v>467.9</c:v>
                </c:pt>
                <c:pt idx="31">
                  <c:v>467.9</c:v>
                </c:pt>
                <c:pt idx="32">
                  <c:v>541.4</c:v>
                </c:pt>
                <c:pt idx="33">
                  <c:v>541.4</c:v>
                </c:pt>
                <c:pt idx="34">
                  <c:v>541.4</c:v>
                </c:pt>
                <c:pt idx="35">
                  <c:v>614.9</c:v>
                </c:pt>
                <c:pt idx="36">
                  <c:v>614.9</c:v>
                </c:pt>
                <c:pt idx="37">
                  <c:v>614.9</c:v>
                </c:pt>
                <c:pt idx="38">
                  <c:v>688.4</c:v>
                </c:pt>
                <c:pt idx="39">
                  <c:v>688.4</c:v>
                </c:pt>
                <c:pt idx="40">
                  <c:v>688.4</c:v>
                </c:pt>
                <c:pt idx="41">
                  <c:v>688.4</c:v>
                </c:pt>
                <c:pt idx="42">
                  <c:v>688.4</c:v>
                </c:pt>
                <c:pt idx="43">
                  <c:v>688.4</c:v>
                </c:pt>
                <c:pt idx="44">
                  <c:v>688.4</c:v>
                </c:pt>
              </c:numCache>
            </c:numRef>
          </c:val>
          <c:smooth val="0"/>
          <c:extLst>
            <c:ext xmlns:c16="http://schemas.microsoft.com/office/drawing/2014/chart" uri="{C3380CC4-5D6E-409C-BE32-E72D297353CC}">
              <c16:uniqueId val="{00000000-1137-4DA3-8976-B78804F2C646}"/>
            </c:ext>
          </c:extLst>
        </c:ser>
        <c:dLbls>
          <c:showLegendKey val="0"/>
          <c:showVal val="0"/>
          <c:showCatName val="0"/>
          <c:showSerName val="0"/>
          <c:showPercent val="0"/>
          <c:showBubbleSize val="0"/>
        </c:dLbls>
        <c:smooth val="0"/>
        <c:axId val="1886468879"/>
        <c:axId val="1888593391"/>
        <c:extLst/>
      </c:lineChart>
      <c:catAx>
        <c:axId val="188646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8593391"/>
        <c:crosses val="autoZero"/>
        <c:auto val="1"/>
        <c:lblAlgn val="ctr"/>
        <c:lblOffset val="100"/>
        <c:noMultiLvlLbl val="0"/>
      </c:catAx>
      <c:valAx>
        <c:axId val="1888593391"/>
        <c:scaling>
          <c:orientation val="minMax"/>
          <c:max val="100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46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Potable Water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Potable Water Demand Total</c:v>
          </c:tx>
          <c:spPr>
            <a:ln w="28575" cap="rnd">
              <a:solidFill>
                <a:srgbClr val="C00000"/>
              </a:solidFill>
              <a:round/>
            </a:ln>
            <a:effectLst/>
          </c:spPr>
          <c:marker>
            <c:symbol val="none"/>
          </c:marker>
          <c:cat>
            <c:numRef>
              <c:f>BLACKBOX!$B$35:$B$79</c:f>
              <c:numCache>
                <c:formatCode>General</c:formatCode>
                <c:ptCount val="4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pt idx="40">
                  <c:v>2061</c:v>
                </c:pt>
                <c:pt idx="41">
                  <c:v>2062</c:v>
                </c:pt>
                <c:pt idx="42">
                  <c:v>2063</c:v>
                </c:pt>
                <c:pt idx="43">
                  <c:v>2064</c:v>
                </c:pt>
                <c:pt idx="44">
                  <c:v>2065</c:v>
                </c:pt>
              </c:numCache>
            </c:numRef>
          </c:cat>
          <c:val>
            <c:numRef>
              <c:f>BLACKBOX!$F$35:$F$79</c:f>
              <c:numCache>
                <c:formatCode>0.000</c:formatCode>
                <c:ptCount val="45"/>
                <c:pt idx="0">
                  <c:v>632.43336196363873</c:v>
                </c:pt>
                <c:pt idx="1">
                  <c:v>630.20237905663532</c:v>
                </c:pt>
                <c:pt idx="2">
                  <c:v>627.76963623123629</c:v>
                </c:pt>
                <c:pt idx="3">
                  <c:v>625.13259946811775</c:v>
                </c:pt>
                <c:pt idx="4">
                  <c:v>622.28870788451547</c:v>
                </c:pt>
                <c:pt idx="5">
                  <c:v>619.23537347226431</c:v>
                </c:pt>
                <c:pt idx="6">
                  <c:v>615.96998083340998</c:v>
                </c:pt>
                <c:pt idx="7">
                  <c:v>612.48988691336683</c:v>
                </c:pt>
                <c:pt idx="8">
                  <c:v>608.79242073160287</c:v>
                </c:pt>
                <c:pt idx="9">
                  <c:v>604.87488310982746</c:v>
                </c:pt>
                <c:pt idx="10">
                  <c:v>610.7181804387584</c:v>
                </c:pt>
                <c:pt idx="11">
                  <c:v>616.57951291557902</c:v>
                </c:pt>
                <c:pt idx="12">
                  <c:v>622.45887204582561</c:v>
                </c:pt>
                <c:pt idx="13">
                  <c:v>628.35624816420886</c:v>
                </c:pt>
                <c:pt idx="14">
                  <c:v>634.27163041730762</c:v>
                </c:pt>
                <c:pt idx="15">
                  <c:v>640.20500674606717</c:v>
                </c:pt>
                <c:pt idx="16">
                  <c:v>646.15636386810081</c:v>
                </c:pt>
                <c:pt idx="17">
                  <c:v>652.12568725979224</c:v>
                </c:pt>
                <c:pt idx="18">
                  <c:v>658.11296113819526</c:v>
                </c:pt>
                <c:pt idx="19">
                  <c:v>656.1487504214183</c:v>
                </c:pt>
                <c:pt idx="20">
                  <c:v>662.09959532688015</c:v>
                </c:pt>
                <c:pt idx="21">
                  <c:v>668.06812088540448</c:v>
                </c:pt>
                <c:pt idx="22">
                  <c:v>674.05430634369691</c:v>
                </c:pt>
                <c:pt idx="23">
                  <c:v>680.05812961177867</c:v>
                </c:pt>
                <c:pt idx="24">
                  <c:v>686.07956724386679</c:v>
                </c:pt>
                <c:pt idx="25">
                  <c:v>692.11859441904301</c:v>
                </c:pt>
                <c:pt idx="26">
                  <c:v>698.17518492170541</c:v>
                </c:pt>
                <c:pt idx="27">
                  <c:v>704.24931112180286</c:v>
                </c:pt>
                <c:pt idx="28">
                  <c:v>710.34094395484919</c:v>
                </c:pt>
                <c:pt idx="29">
                  <c:v>716.45005290171719</c:v>
                </c:pt>
                <c:pt idx="30">
                  <c:v>722.5766059682046</c:v>
                </c:pt>
                <c:pt idx="31">
                  <c:v>728.72056966437776</c:v>
                </c:pt>
                <c:pt idx="32">
                  <c:v>734.88190898368373</c:v>
                </c:pt>
                <c:pt idx="33">
                  <c:v>741.06058738183128</c:v>
                </c:pt>
                <c:pt idx="34">
                  <c:v>747.25656675544042</c:v>
                </c:pt>
                <c:pt idx="35">
                  <c:v>753.46980742045514</c:v>
                </c:pt>
                <c:pt idx="36">
                  <c:v>759.70026809031617</c:v>
                </c:pt>
                <c:pt idx="37">
                  <c:v>765.9479058538974</c:v>
                </c:pt>
                <c:pt idx="38">
                  <c:v>772.21267615319584</c:v>
                </c:pt>
                <c:pt idx="39">
                  <c:v>778.49453276077566</c:v>
                </c:pt>
                <c:pt idx="40">
                  <c:v>786.97948187328939</c:v>
                </c:pt>
                <c:pt idx="41">
                  <c:v>795.52891659905845</c:v>
                </c:pt>
                <c:pt idx="42">
                  <c:v>804.1433270287431</c:v>
                </c:pt>
                <c:pt idx="43">
                  <c:v>812.82320697769364</c:v>
                </c:pt>
                <c:pt idx="44">
                  <c:v>821.56905401425604</c:v>
                </c:pt>
              </c:numCache>
            </c:numRef>
          </c:val>
          <c:smooth val="0"/>
          <c:extLst>
            <c:ext xmlns:c16="http://schemas.microsoft.com/office/drawing/2014/chart" uri="{C3380CC4-5D6E-409C-BE32-E72D297353CC}">
              <c16:uniqueId val="{00000000-8D81-43A1-9B64-81370DB4DE72}"/>
            </c:ext>
          </c:extLst>
        </c:ser>
        <c:ser>
          <c:idx val="1"/>
          <c:order val="1"/>
          <c:tx>
            <c:v>Potable Water Supply Total</c:v>
          </c:tx>
          <c:spPr>
            <a:ln w="28575" cap="rnd">
              <a:solidFill>
                <a:schemeClr val="accent2"/>
              </a:solidFill>
              <a:round/>
            </a:ln>
            <a:effectLst/>
          </c:spPr>
          <c:marker>
            <c:symbol val="none"/>
          </c:marker>
          <c:cat>
            <c:numRef>
              <c:f>BLACKBOX!$B$35:$B$79</c:f>
              <c:numCache>
                <c:formatCode>General</c:formatCode>
                <c:ptCount val="4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pt idx="40">
                  <c:v>2061</c:v>
                </c:pt>
                <c:pt idx="41">
                  <c:v>2062</c:v>
                </c:pt>
                <c:pt idx="42">
                  <c:v>2063</c:v>
                </c:pt>
                <c:pt idx="43">
                  <c:v>2064</c:v>
                </c:pt>
                <c:pt idx="44">
                  <c:v>2065</c:v>
                </c:pt>
              </c:numCache>
            </c:numRef>
          </c:cat>
          <c:val>
            <c:numRef>
              <c:f>BLACKBOX!$Z$35:$Z$79</c:f>
              <c:numCache>
                <c:formatCode>0.000</c:formatCode>
                <c:ptCount val="45"/>
                <c:pt idx="0">
                  <c:v>1086.6225836260001</c:v>
                </c:pt>
                <c:pt idx="1">
                  <c:v>999.09688796199998</c:v>
                </c:pt>
                <c:pt idx="2">
                  <c:v>1001.7486849927368</c:v>
                </c:pt>
                <c:pt idx="3">
                  <c:v>1004.4004820234736</c:v>
                </c:pt>
                <c:pt idx="4">
                  <c:v>1007.0522790542104</c:v>
                </c:pt>
                <c:pt idx="5">
                  <c:v>1009.7040760849472</c:v>
                </c:pt>
                <c:pt idx="6">
                  <c:v>1012.3558731156843</c:v>
                </c:pt>
                <c:pt idx="7">
                  <c:v>1015.0076701464209</c:v>
                </c:pt>
                <c:pt idx="8">
                  <c:v>1017.6594671771577</c:v>
                </c:pt>
                <c:pt idx="9">
                  <c:v>1020.3112642078945</c:v>
                </c:pt>
                <c:pt idx="10">
                  <c:v>1022.9630612386316</c:v>
                </c:pt>
                <c:pt idx="11">
                  <c:v>1025.6148582693684</c:v>
                </c:pt>
                <c:pt idx="12">
                  <c:v>1028.266655300105</c:v>
                </c:pt>
                <c:pt idx="13">
                  <c:v>1030.9184523308418</c:v>
                </c:pt>
                <c:pt idx="14">
                  <c:v>1033.5702493615786</c:v>
                </c:pt>
                <c:pt idx="15">
                  <c:v>1036.2220463923156</c:v>
                </c:pt>
                <c:pt idx="16">
                  <c:v>1038.8738434230524</c:v>
                </c:pt>
                <c:pt idx="17">
                  <c:v>1041.5256404537893</c:v>
                </c:pt>
                <c:pt idx="18">
                  <c:v>1044.1774374845261</c:v>
                </c:pt>
                <c:pt idx="19">
                  <c:v>690.09513626526268</c:v>
                </c:pt>
                <c:pt idx="20">
                  <c:v>692.74693329599961</c:v>
                </c:pt>
                <c:pt idx="21">
                  <c:v>695.39873032673654</c:v>
                </c:pt>
                <c:pt idx="22">
                  <c:v>698.05052735747336</c:v>
                </c:pt>
                <c:pt idx="23">
                  <c:v>700.70232438821017</c:v>
                </c:pt>
                <c:pt idx="24">
                  <c:v>703.35412141894699</c:v>
                </c:pt>
                <c:pt idx="25">
                  <c:v>706.0059184496838</c:v>
                </c:pt>
                <c:pt idx="26">
                  <c:v>708.65771548042062</c:v>
                </c:pt>
                <c:pt idx="27">
                  <c:v>711.30951251115744</c:v>
                </c:pt>
                <c:pt idx="28">
                  <c:v>713.96130954189414</c:v>
                </c:pt>
                <c:pt idx="29">
                  <c:v>716.61310657263107</c:v>
                </c:pt>
                <c:pt idx="30">
                  <c:v>769.06490360336795</c:v>
                </c:pt>
                <c:pt idx="31">
                  <c:v>771.71670063410477</c:v>
                </c:pt>
                <c:pt idx="32">
                  <c:v>774.36849766484158</c:v>
                </c:pt>
                <c:pt idx="33">
                  <c:v>777.0202946955784</c:v>
                </c:pt>
                <c:pt idx="34">
                  <c:v>779.67209172631522</c:v>
                </c:pt>
                <c:pt idx="35">
                  <c:v>782.32388875705203</c:v>
                </c:pt>
                <c:pt idx="36">
                  <c:v>784.97568578778885</c:v>
                </c:pt>
                <c:pt idx="37">
                  <c:v>787.62748281852566</c:v>
                </c:pt>
                <c:pt idx="38">
                  <c:v>790.27927984926248</c:v>
                </c:pt>
                <c:pt idx="39">
                  <c:v>792.93107688000009</c:v>
                </c:pt>
                <c:pt idx="40">
                  <c:v>792.93107688000009</c:v>
                </c:pt>
                <c:pt idx="41">
                  <c:v>842.73107688000005</c:v>
                </c:pt>
                <c:pt idx="42">
                  <c:v>842.73107688000005</c:v>
                </c:pt>
                <c:pt idx="43">
                  <c:v>842.73107688000005</c:v>
                </c:pt>
                <c:pt idx="44">
                  <c:v>842.73107688000005</c:v>
                </c:pt>
              </c:numCache>
            </c:numRef>
          </c:val>
          <c:smooth val="0"/>
          <c:extLst>
            <c:ext xmlns:c16="http://schemas.microsoft.com/office/drawing/2014/chart" uri="{C3380CC4-5D6E-409C-BE32-E72D297353CC}">
              <c16:uniqueId val="{00000001-8D81-43A1-9B64-81370DB4DE72}"/>
            </c:ext>
          </c:extLst>
        </c:ser>
        <c:dLbls>
          <c:showLegendKey val="0"/>
          <c:showVal val="0"/>
          <c:showCatName val="0"/>
          <c:showSerName val="0"/>
          <c:showPercent val="0"/>
          <c:showBubbleSize val="0"/>
        </c:dLbls>
        <c:smooth val="0"/>
        <c:axId val="1886468879"/>
        <c:axId val="1888593391"/>
        <c:extLst/>
      </c:lineChart>
      <c:catAx>
        <c:axId val="188646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8593391"/>
        <c:crosses val="autoZero"/>
        <c:auto val="1"/>
        <c:lblAlgn val="ctr"/>
        <c:lblOffset val="100"/>
        <c:noMultiLvlLbl val="0"/>
      </c:catAx>
      <c:valAx>
        <c:axId val="1888593391"/>
        <c:scaling>
          <c:orientation val="minMax"/>
          <c:max val="120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46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Non-Potable Water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Non-Potable Water Supply Total</c:v>
          </c:tx>
          <c:spPr>
            <a:ln w="28575" cap="rnd">
              <a:solidFill>
                <a:schemeClr val="accent2"/>
              </a:solidFill>
              <a:round/>
            </a:ln>
            <a:effectLst/>
          </c:spPr>
          <c:marker>
            <c:symbol val="none"/>
          </c:marker>
          <c:cat>
            <c:numRef>
              <c:f>BLACKBOX!$B$35:$B$79</c:f>
              <c:numCache>
                <c:formatCode>General</c:formatCode>
                <c:ptCount val="4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pt idx="40">
                  <c:v>2061</c:v>
                </c:pt>
                <c:pt idx="41">
                  <c:v>2062</c:v>
                </c:pt>
                <c:pt idx="42">
                  <c:v>2063</c:v>
                </c:pt>
                <c:pt idx="43">
                  <c:v>2064</c:v>
                </c:pt>
                <c:pt idx="44">
                  <c:v>2065</c:v>
                </c:pt>
              </c:numCache>
            </c:numRef>
          </c:cat>
          <c:val>
            <c:numRef>
              <c:f>BLACKBOX!$AA$35:$AA$79</c:f>
              <c:numCache>
                <c:formatCode>0.000</c:formatCode>
                <c:ptCount val="45"/>
                <c:pt idx="0">
                  <c:v>247.39999999999998</c:v>
                </c:pt>
                <c:pt idx="1">
                  <c:v>247.39999999999998</c:v>
                </c:pt>
                <c:pt idx="2">
                  <c:v>247.39999999999998</c:v>
                </c:pt>
                <c:pt idx="3">
                  <c:v>247.39999999999998</c:v>
                </c:pt>
                <c:pt idx="4">
                  <c:v>247.39999999999998</c:v>
                </c:pt>
                <c:pt idx="5">
                  <c:v>247.39999999999998</c:v>
                </c:pt>
                <c:pt idx="6">
                  <c:v>247.39999999999998</c:v>
                </c:pt>
                <c:pt idx="7">
                  <c:v>247.39999999999998</c:v>
                </c:pt>
                <c:pt idx="8">
                  <c:v>247.39999999999998</c:v>
                </c:pt>
                <c:pt idx="9">
                  <c:v>247.39999999999998</c:v>
                </c:pt>
                <c:pt idx="10">
                  <c:v>247.39999999999998</c:v>
                </c:pt>
                <c:pt idx="11">
                  <c:v>247.39999999999998</c:v>
                </c:pt>
                <c:pt idx="12">
                  <c:v>247.39999999999998</c:v>
                </c:pt>
                <c:pt idx="13">
                  <c:v>247.39999999999998</c:v>
                </c:pt>
                <c:pt idx="14">
                  <c:v>247.39999999999998</c:v>
                </c:pt>
                <c:pt idx="15">
                  <c:v>247.39999999999998</c:v>
                </c:pt>
                <c:pt idx="16">
                  <c:v>247.39999999999998</c:v>
                </c:pt>
                <c:pt idx="17">
                  <c:v>320.89999999999998</c:v>
                </c:pt>
                <c:pt idx="18">
                  <c:v>320.89999999999998</c:v>
                </c:pt>
                <c:pt idx="19">
                  <c:v>320.89999999999998</c:v>
                </c:pt>
                <c:pt idx="20">
                  <c:v>320.89999999999998</c:v>
                </c:pt>
                <c:pt idx="21">
                  <c:v>320.89999999999998</c:v>
                </c:pt>
                <c:pt idx="22">
                  <c:v>320.89999999999998</c:v>
                </c:pt>
                <c:pt idx="23">
                  <c:v>394.4</c:v>
                </c:pt>
                <c:pt idx="24">
                  <c:v>394.4</c:v>
                </c:pt>
                <c:pt idx="25">
                  <c:v>394.4</c:v>
                </c:pt>
                <c:pt idx="26">
                  <c:v>394.4</c:v>
                </c:pt>
                <c:pt idx="27">
                  <c:v>394.4</c:v>
                </c:pt>
                <c:pt idx="28">
                  <c:v>467.9</c:v>
                </c:pt>
                <c:pt idx="29">
                  <c:v>467.9</c:v>
                </c:pt>
                <c:pt idx="30">
                  <c:v>467.9</c:v>
                </c:pt>
                <c:pt idx="31">
                  <c:v>467.9</c:v>
                </c:pt>
                <c:pt idx="32">
                  <c:v>541.4</c:v>
                </c:pt>
                <c:pt idx="33">
                  <c:v>541.4</c:v>
                </c:pt>
                <c:pt idx="34">
                  <c:v>541.4</c:v>
                </c:pt>
                <c:pt idx="35">
                  <c:v>614.9</c:v>
                </c:pt>
                <c:pt idx="36">
                  <c:v>614.9</c:v>
                </c:pt>
                <c:pt idx="37">
                  <c:v>614.9</c:v>
                </c:pt>
                <c:pt idx="38">
                  <c:v>688.4</c:v>
                </c:pt>
                <c:pt idx="39">
                  <c:v>688.4</c:v>
                </c:pt>
                <c:pt idx="40">
                  <c:v>688.4</c:v>
                </c:pt>
                <c:pt idx="41">
                  <c:v>688.4</c:v>
                </c:pt>
                <c:pt idx="42">
                  <c:v>688.4</c:v>
                </c:pt>
                <c:pt idx="43">
                  <c:v>688.4</c:v>
                </c:pt>
                <c:pt idx="44">
                  <c:v>688.4</c:v>
                </c:pt>
              </c:numCache>
            </c:numRef>
          </c:val>
          <c:smooth val="0"/>
          <c:extLst>
            <c:ext xmlns:c16="http://schemas.microsoft.com/office/drawing/2014/chart" uri="{C3380CC4-5D6E-409C-BE32-E72D297353CC}">
              <c16:uniqueId val="{00000020-F554-4CD5-BF28-62B1CB225B07}"/>
            </c:ext>
          </c:extLst>
        </c:ser>
        <c:ser>
          <c:idx val="1"/>
          <c:order val="1"/>
          <c:tx>
            <c:v>Non-Potable Water Demand Total</c:v>
          </c:tx>
          <c:spPr>
            <a:ln w="28575" cap="rnd">
              <a:solidFill>
                <a:srgbClr val="C00000"/>
              </a:solidFill>
              <a:round/>
            </a:ln>
            <a:effectLst/>
          </c:spPr>
          <c:marker>
            <c:symbol val="none"/>
          </c:marker>
          <c:cat>
            <c:numRef>
              <c:f>BLACKBOX!$B$35:$B$79</c:f>
              <c:numCache>
                <c:formatCode>General</c:formatCode>
                <c:ptCount val="4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pt idx="40">
                  <c:v>2061</c:v>
                </c:pt>
                <c:pt idx="41">
                  <c:v>2062</c:v>
                </c:pt>
                <c:pt idx="42">
                  <c:v>2063</c:v>
                </c:pt>
                <c:pt idx="43">
                  <c:v>2064</c:v>
                </c:pt>
                <c:pt idx="44">
                  <c:v>2065</c:v>
                </c:pt>
              </c:numCache>
            </c:numRef>
          </c:cat>
          <c:val>
            <c:numRef>
              <c:f>BLACKBOX!$I$35:$I$79</c:f>
              <c:numCache>
                <c:formatCode>0.000</c:formatCode>
                <c:ptCount val="45"/>
                <c:pt idx="0">
                  <c:v>117.49723066292705</c:v>
                </c:pt>
                <c:pt idx="1">
                  <c:v>123.56712497714446</c:v>
                </c:pt>
                <c:pt idx="2">
                  <c:v>129.67819605592661</c:v>
                </c:pt>
                <c:pt idx="3">
                  <c:v>135.82591504601785</c:v>
                </c:pt>
                <c:pt idx="4">
                  <c:v>142.00547445989028</c:v>
                </c:pt>
                <c:pt idx="5">
                  <c:v>148.21177262103939</c:v>
                </c:pt>
                <c:pt idx="6">
                  <c:v>154.43939712615236</c:v>
                </c:pt>
                <c:pt idx="7">
                  <c:v>160.68260725182074</c:v>
                </c:pt>
                <c:pt idx="8">
                  <c:v>166.93531522734125</c:v>
                </c:pt>
                <c:pt idx="9">
                  <c:v>173.19106628841459</c:v>
                </c:pt>
                <c:pt idx="10">
                  <c:v>182.42518887558739</c:v>
                </c:pt>
                <c:pt idx="11">
                  <c:v>191.97671920774616</c:v>
                </c:pt>
                <c:pt idx="12">
                  <c:v>201.85670588242306</c:v>
                </c:pt>
                <c:pt idx="13">
                  <c:v>212.07669134218679</c:v>
                </c:pt>
                <c:pt idx="14">
                  <c:v>222.64873975686044</c:v>
                </c:pt>
                <c:pt idx="15">
                  <c:v>233.58546681963736</c:v>
                </c:pt>
                <c:pt idx="16">
                  <c:v>244.90007161221604</c:v>
                </c:pt>
                <c:pt idx="17">
                  <c:v>256.60637070860918</c:v>
                </c:pt>
                <c:pt idx="18">
                  <c:v>268.71883470337264</c:v>
                </c:pt>
                <c:pt idx="19">
                  <c:v>277.87759583941079</c:v>
                </c:pt>
                <c:pt idx="20">
                  <c:v>290.69296388571047</c:v>
                </c:pt>
                <c:pt idx="21">
                  <c:v>303.95679191905117</c:v>
                </c:pt>
                <c:pt idx="22">
                  <c:v>317.68637784662076</c:v>
                </c:pt>
                <c:pt idx="23">
                  <c:v>331.89988989781409</c:v>
                </c:pt>
                <c:pt idx="24">
                  <c:v>346.61642207509834</c:v>
                </c:pt>
                <c:pt idx="25">
                  <c:v>361.85605390423893</c:v>
                </c:pt>
                <c:pt idx="26">
                  <c:v>377.63991487799586</c:v>
                </c:pt>
                <c:pt idx="27">
                  <c:v>393.99025402923746</c:v>
                </c:pt>
                <c:pt idx="28">
                  <c:v>410.93051511631847</c:v>
                </c:pt>
                <c:pt idx="29">
                  <c:v>428.48541795622532</c:v>
                </c:pt>
                <c:pt idx="30">
                  <c:v>446.68104650019609</c:v>
                </c:pt>
                <c:pt idx="31">
                  <c:v>465.54494431319222</c:v>
                </c:pt>
                <c:pt idx="32">
                  <c:v>485.10621819380015</c:v>
                </c:pt>
                <c:pt idx="33">
                  <c:v>505.39565075609494</c:v>
                </c:pt>
                <c:pt idx="34">
                  <c:v>526.44582289114237</c:v>
                </c:pt>
                <c:pt idx="35">
                  <c:v>548.29124713480439</c:v>
                </c:pt>
                <c:pt idx="36">
                  <c:v>570.96851309227702</c:v>
                </c:pt>
                <c:pt idx="37">
                  <c:v>594.51644621060677</c:v>
                </c:pt>
                <c:pt idx="38">
                  <c:v>618.97628135093009</c:v>
                </c:pt>
                <c:pt idx="39">
                  <c:v>644.39185279548667</c:v>
                </c:pt>
                <c:pt idx="40">
                  <c:v>651.41519316513336</c:v>
                </c:pt>
                <c:pt idx="41">
                  <c:v>658.49191092158992</c:v>
                </c:pt>
                <c:pt idx="42">
                  <c:v>665.62241173299515</c:v>
                </c:pt>
                <c:pt idx="43">
                  <c:v>672.80710435056722</c:v>
                </c:pt>
                <c:pt idx="44">
                  <c:v>680.04640063203294</c:v>
                </c:pt>
              </c:numCache>
            </c:numRef>
          </c:val>
          <c:smooth val="0"/>
          <c:extLst>
            <c:ext xmlns:c16="http://schemas.microsoft.com/office/drawing/2014/chart" uri="{C3380CC4-5D6E-409C-BE32-E72D297353CC}">
              <c16:uniqueId val="{00000021-F554-4CD5-BF28-62B1CB225B07}"/>
            </c:ext>
          </c:extLst>
        </c:ser>
        <c:dLbls>
          <c:showLegendKey val="0"/>
          <c:showVal val="0"/>
          <c:showCatName val="0"/>
          <c:showSerName val="0"/>
          <c:showPercent val="0"/>
          <c:showBubbleSize val="0"/>
        </c:dLbls>
        <c:smooth val="0"/>
        <c:axId val="1886468879"/>
        <c:axId val="1888593391"/>
        <c:extLst/>
      </c:lineChart>
      <c:catAx>
        <c:axId val="188646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8593391"/>
        <c:crosses val="autoZero"/>
        <c:auto val="1"/>
        <c:lblAlgn val="ctr"/>
        <c:lblOffset val="100"/>
        <c:noMultiLvlLbl val="0"/>
      </c:catAx>
      <c:valAx>
        <c:axId val="1888593391"/>
        <c:scaling>
          <c:orientation val="minMax"/>
          <c:max val="100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46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Potable Water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Potable Water Demand Total</c:v>
          </c:tx>
          <c:spPr>
            <a:ln w="28575" cap="rnd">
              <a:solidFill>
                <a:srgbClr val="C00000"/>
              </a:solidFill>
              <a:round/>
            </a:ln>
            <a:effectLst/>
          </c:spPr>
          <c:marker>
            <c:symbol val="none"/>
          </c:marker>
          <c:cat>
            <c:numRef>
              <c:f>BLACKBOX!$B$35:$B$79</c:f>
              <c:numCache>
                <c:formatCode>General</c:formatCode>
                <c:ptCount val="4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pt idx="40">
                  <c:v>2061</c:v>
                </c:pt>
                <c:pt idx="41">
                  <c:v>2062</c:v>
                </c:pt>
                <c:pt idx="42">
                  <c:v>2063</c:v>
                </c:pt>
                <c:pt idx="43">
                  <c:v>2064</c:v>
                </c:pt>
                <c:pt idx="44">
                  <c:v>2065</c:v>
                </c:pt>
              </c:numCache>
            </c:numRef>
          </c:cat>
          <c:val>
            <c:numRef>
              <c:f>BLACKBOX!$F$35:$F$79</c:f>
              <c:numCache>
                <c:formatCode>0.000</c:formatCode>
                <c:ptCount val="45"/>
                <c:pt idx="0">
                  <c:v>632.43336196363873</c:v>
                </c:pt>
                <c:pt idx="1">
                  <c:v>630.20237905663532</c:v>
                </c:pt>
                <c:pt idx="2">
                  <c:v>627.76963623123629</c:v>
                </c:pt>
                <c:pt idx="3">
                  <c:v>625.13259946811775</c:v>
                </c:pt>
                <c:pt idx="4">
                  <c:v>622.28870788451547</c:v>
                </c:pt>
                <c:pt idx="5">
                  <c:v>619.23537347226431</c:v>
                </c:pt>
                <c:pt idx="6">
                  <c:v>615.96998083340998</c:v>
                </c:pt>
                <c:pt idx="7">
                  <c:v>612.48988691336683</c:v>
                </c:pt>
                <c:pt idx="8">
                  <c:v>608.79242073160287</c:v>
                </c:pt>
                <c:pt idx="9">
                  <c:v>604.87488310982746</c:v>
                </c:pt>
                <c:pt idx="10">
                  <c:v>610.7181804387584</c:v>
                </c:pt>
                <c:pt idx="11">
                  <c:v>616.57951291557902</c:v>
                </c:pt>
                <c:pt idx="12">
                  <c:v>622.45887204582561</c:v>
                </c:pt>
                <c:pt idx="13">
                  <c:v>628.35624816420886</c:v>
                </c:pt>
                <c:pt idx="14">
                  <c:v>634.27163041730762</c:v>
                </c:pt>
                <c:pt idx="15">
                  <c:v>640.20500674606717</c:v>
                </c:pt>
                <c:pt idx="16">
                  <c:v>646.15636386810081</c:v>
                </c:pt>
                <c:pt idx="17">
                  <c:v>652.12568725979224</c:v>
                </c:pt>
                <c:pt idx="18">
                  <c:v>658.11296113819526</c:v>
                </c:pt>
                <c:pt idx="19">
                  <c:v>656.1487504214183</c:v>
                </c:pt>
                <c:pt idx="20">
                  <c:v>662.09959532688015</c:v>
                </c:pt>
                <c:pt idx="21">
                  <c:v>668.06812088540448</c:v>
                </c:pt>
                <c:pt idx="22">
                  <c:v>674.05430634369691</c:v>
                </c:pt>
                <c:pt idx="23">
                  <c:v>680.05812961177867</c:v>
                </c:pt>
                <c:pt idx="24">
                  <c:v>686.07956724386679</c:v>
                </c:pt>
                <c:pt idx="25">
                  <c:v>692.11859441904301</c:v>
                </c:pt>
                <c:pt idx="26">
                  <c:v>698.17518492170541</c:v>
                </c:pt>
                <c:pt idx="27">
                  <c:v>704.24931112180286</c:v>
                </c:pt>
                <c:pt idx="28">
                  <c:v>710.34094395484919</c:v>
                </c:pt>
                <c:pt idx="29">
                  <c:v>716.45005290171719</c:v>
                </c:pt>
                <c:pt idx="30">
                  <c:v>722.5766059682046</c:v>
                </c:pt>
                <c:pt idx="31">
                  <c:v>728.72056966437776</c:v>
                </c:pt>
                <c:pt idx="32">
                  <c:v>734.88190898368373</c:v>
                </c:pt>
                <c:pt idx="33">
                  <c:v>741.06058738183128</c:v>
                </c:pt>
                <c:pt idx="34">
                  <c:v>747.25656675544042</c:v>
                </c:pt>
                <c:pt idx="35">
                  <c:v>753.46980742045514</c:v>
                </c:pt>
                <c:pt idx="36">
                  <c:v>759.70026809031617</c:v>
                </c:pt>
                <c:pt idx="37">
                  <c:v>765.9479058538974</c:v>
                </c:pt>
                <c:pt idx="38">
                  <c:v>772.21267615319584</c:v>
                </c:pt>
                <c:pt idx="39">
                  <c:v>778.49453276077566</c:v>
                </c:pt>
                <c:pt idx="40">
                  <c:v>786.97948187328939</c:v>
                </c:pt>
                <c:pt idx="41">
                  <c:v>795.52891659905845</c:v>
                </c:pt>
                <c:pt idx="42">
                  <c:v>804.1433270287431</c:v>
                </c:pt>
                <c:pt idx="43">
                  <c:v>812.82320697769364</c:v>
                </c:pt>
                <c:pt idx="44">
                  <c:v>821.56905401425604</c:v>
                </c:pt>
              </c:numCache>
            </c:numRef>
          </c:val>
          <c:smooth val="0"/>
          <c:extLst>
            <c:ext xmlns:c16="http://schemas.microsoft.com/office/drawing/2014/chart" uri="{C3380CC4-5D6E-409C-BE32-E72D297353CC}">
              <c16:uniqueId val="{00000011-6CB4-4E59-AA4A-8FC9711493D6}"/>
            </c:ext>
          </c:extLst>
        </c:ser>
        <c:ser>
          <c:idx val="1"/>
          <c:order val="1"/>
          <c:tx>
            <c:v>Potable Water Supply Total</c:v>
          </c:tx>
          <c:spPr>
            <a:ln w="28575" cap="rnd">
              <a:solidFill>
                <a:schemeClr val="accent2"/>
              </a:solidFill>
              <a:round/>
            </a:ln>
            <a:effectLst/>
          </c:spPr>
          <c:marker>
            <c:symbol val="none"/>
          </c:marker>
          <c:cat>
            <c:numRef>
              <c:f>BLACKBOX!$B$35:$B$79</c:f>
              <c:numCache>
                <c:formatCode>General</c:formatCode>
                <c:ptCount val="4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pt idx="30">
                  <c:v>2051</c:v>
                </c:pt>
                <c:pt idx="31">
                  <c:v>2052</c:v>
                </c:pt>
                <c:pt idx="32">
                  <c:v>2053</c:v>
                </c:pt>
                <c:pt idx="33">
                  <c:v>2054</c:v>
                </c:pt>
                <c:pt idx="34">
                  <c:v>2055</c:v>
                </c:pt>
                <c:pt idx="35">
                  <c:v>2056</c:v>
                </c:pt>
                <c:pt idx="36">
                  <c:v>2057</c:v>
                </c:pt>
                <c:pt idx="37">
                  <c:v>2058</c:v>
                </c:pt>
                <c:pt idx="38">
                  <c:v>2059</c:v>
                </c:pt>
                <c:pt idx="39">
                  <c:v>2060</c:v>
                </c:pt>
                <c:pt idx="40">
                  <c:v>2061</c:v>
                </c:pt>
                <c:pt idx="41">
                  <c:v>2062</c:v>
                </c:pt>
                <c:pt idx="42">
                  <c:v>2063</c:v>
                </c:pt>
                <c:pt idx="43">
                  <c:v>2064</c:v>
                </c:pt>
                <c:pt idx="44">
                  <c:v>2065</c:v>
                </c:pt>
              </c:numCache>
            </c:numRef>
          </c:cat>
          <c:val>
            <c:numRef>
              <c:f>BLACKBOX!$Z$35:$Z$79</c:f>
              <c:numCache>
                <c:formatCode>0.000</c:formatCode>
                <c:ptCount val="45"/>
                <c:pt idx="0">
                  <c:v>1086.6225836260001</c:v>
                </c:pt>
                <c:pt idx="1">
                  <c:v>999.09688796199998</c:v>
                </c:pt>
                <c:pt idx="2">
                  <c:v>1001.7486849927368</c:v>
                </c:pt>
                <c:pt idx="3">
                  <c:v>1004.4004820234736</c:v>
                </c:pt>
                <c:pt idx="4">
                  <c:v>1007.0522790542104</c:v>
                </c:pt>
                <c:pt idx="5">
                  <c:v>1009.7040760849472</c:v>
                </c:pt>
                <c:pt idx="6">
                  <c:v>1012.3558731156843</c:v>
                </c:pt>
                <c:pt idx="7">
                  <c:v>1015.0076701464209</c:v>
                </c:pt>
                <c:pt idx="8">
                  <c:v>1017.6594671771577</c:v>
                </c:pt>
                <c:pt idx="9">
                  <c:v>1020.3112642078945</c:v>
                </c:pt>
                <c:pt idx="10">
                  <c:v>1022.9630612386316</c:v>
                </c:pt>
                <c:pt idx="11">
                  <c:v>1025.6148582693684</c:v>
                </c:pt>
                <c:pt idx="12">
                  <c:v>1028.266655300105</c:v>
                </c:pt>
                <c:pt idx="13">
                  <c:v>1030.9184523308418</c:v>
                </c:pt>
                <c:pt idx="14">
                  <c:v>1033.5702493615786</c:v>
                </c:pt>
                <c:pt idx="15">
                  <c:v>1036.2220463923156</c:v>
                </c:pt>
                <c:pt idx="16">
                  <c:v>1038.8738434230524</c:v>
                </c:pt>
                <c:pt idx="17">
                  <c:v>1041.5256404537893</c:v>
                </c:pt>
                <c:pt idx="18">
                  <c:v>1044.1774374845261</c:v>
                </c:pt>
                <c:pt idx="19">
                  <c:v>690.09513626526268</c:v>
                </c:pt>
                <c:pt idx="20">
                  <c:v>692.74693329599961</c:v>
                </c:pt>
                <c:pt idx="21">
                  <c:v>695.39873032673654</c:v>
                </c:pt>
                <c:pt idx="22">
                  <c:v>698.05052735747336</c:v>
                </c:pt>
                <c:pt idx="23">
                  <c:v>700.70232438821017</c:v>
                </c:pt>
                <c:pt idx="24">
                  <c:v>703.35412141894699</c:v>
                </c:pt>
                <c:pt idx="25">
                  <c:v>706.0059184496838</c:v>
                </c:pt>
                <c:pt idx="26">
                  <c:v>708.65771548042062</c:v>
                </c:pt>
                <c:pt idx="27">
                  <c:v>711.30951251115744</c:v>
                </c:pt>
                <c:pt idx="28">
                  <c:v>713.96130954189414</c:v>
                </c:pt>
                <c:pt idx="29">
                  <c:v>716.61310657263107</c:v>
                </c:pt>
                <c:pt idx="30">
                  <c:v>769.06490360336795</c:v>
                </c:pt>
                <c:pt idx="31">
                  <c:v>771.71670063410477</c:v>
                </c:pt>
                <c:pt idx="32">
                  <c:v>774.36849766484158</c:v>
                </c:pt>
                <c:pt idx="33">
                  <c:v>777.0202946955784</c:v>
                </c:pt>
                <c:pt idx="34">
                  <c:v>779.67209172631522</c:v>
                </c:pt>
                <c:pt idx="35">
                  <c:v>782.32388875705203</c:v>
                </c:pt>
                <c:pt idx="36">
                  <c:v>784.97568578778885</c:v>
                </c:pt>
                <c:pt idx="37">
                  <c:v>787.62748281852566</c:v>
                </c:pt>
                <c:pt idx="38">
                  <c:v>790.27927984926248</c:v>
                </c:pt>
                <c:pt idx="39">
                  <c:v>792.93107688000009</c:v>
                </c:pt>
                <c:pt idx="40">
                  <c:v>792.93107688000009</c:v>
                </c:pt>
                <c:pt idx="41">
                  <c:v>842.73107688000005</c:v>
                </c:pt>
                <c:pt idx="42">
                  <c:v>842.73107688000005</c:v>
                </c:pt>
                <c:pt idx="43">
                  <c:v>842.73107688000005</c:v>
                </c:pt>
                <c:pt idx="44">
                  <c:v>842.73107688000005</c:v>
                </c:pt>
              </c:numCache>
            </c:numRef>
          </c:val>
          <c:smooth val="0"/>
          <c:extLst>
            <c:ext xmlns:c16="http://schemas.microsoft.com/office/drawing/2014/chart" uri="{C3380CC4-5D6E-409C-BE32-E72D297353CC}">
              <c16:uniqueId val="{00000012-6CB4-4E59-AA4A-8FC9711493D6}"/>
            </c:ext>
          </c:extLst>
        </c:ser>
        <c:dLbls>
          <c:showLegendKey val="0"/>
          <c:showVal val="0"/>
          <c:showCatName val="0"/>
          <c:showSerName val="0"/>
          <c:showPercent val="0"/>
          <c:showBubbleSize val="0"/>
        </c:dLbls>
        <c:smooth val="0"/>
        <c:axId val="1886468879"/>
        <c:axId val="1888593391"/>
        <c:extLst/>
      </c:lineChart>
      <c:catAx>
        <c:axId val="188646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8593391"/>
        <c:crosses val="autoZero"/>
        <c:auto val="1"/>
        <c:lblAlgn val="ctr"/>
        <c:lblOffset val="100"/>
        <c:noMultiLvlLbl val="0"/>
      </c:catAx>
      <c:valAx>
        <c:axId val="1888593391"/>
        <c:scaling>
          <c:orientation val="minMax"/>
          <c:max val="120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46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Demand</a:t>
            </a:r>
            <a:r>
              <a:rPr lang="en-SG" baseline="0"/>
              <a:t> and Supply of </a:t>
            </a:r>
            <a:r>
              <a:rPr lang="en-SG"/>
              <a:t>Potable Water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Potable Demand (On Target)</c:v>
          </c:tx>
          <c:spPr>
            <a:ln w="19050" cap="rnd">
              <a:solidFill>
                <a:srgbClr val="C00000"/>
              </a:solidFill>
              <a:prstDash val="solid"/>
              <a:round/>
            </a:ln>
            <a:effectLst/>
          </c:spPr>
          <c:marker>
            <c:symbol val="none"/>
          </c:marker>
          <c:cat>
            <c:numRef>
              <c:f>Sensitivity_Conserve!$B$31:$B$74</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Sensitivity_Conserve!$D$31:$D$74</c:f>
              <c:numCache>
                <c:formatCode>0.00</c:formatCode>
                <c:ptCount val="44"/>
                <c:pt idx="0">
                  <c:v>630.20237905663532</c:v>
                </c:pt>
                <c:pt idx="1">
                  <c:v>627.76963623123618</c:v>
                </c:pt>
                <c:pt idx="2">
                  <c:v>625.13259946811775</c:v>
                </c:pt>
                <c:pt idx="3">
                  <c:v>622.28870788451525</c:v>
                </c:pt>
                <c:pt idx="4">
                  <c:v>619.23537347226409</c:v>
                </c:pt>
                <c:pt idx="5">
                  <c:v>615.96998083340975</c:v>
                </c:pt>
                <c:pt idx="6">
                  <c:v>612.48988691336649</c:v>
                </c:pt>
                <c:pt idx="7">
                  <c:v>608.79242073160242</c:v>
                </c:pt>
                <c:pt idx="8">
                  <c:v>604.87488310982735</c:v>
                </c:pt>
                <c:pt idx="9">
                  <c:v>610.7181804387584</c:v>
                </c:pt>
                <c:pt idx="10">
                  <c:v>616.57951291557879</c:v>
                </c:pt>
                <c:pt idx="11">
                  <c:v>622.45887204582516</c:v>
                </c:pt>
                <c:pt idx="12">
                  <c:v>628.35624816420841</c:v>
                </c:pt>
                <c:pt idx="13">
                  <c:v>634.27163041730705</c:v>
                </c:pt>
                <c:pt idx="14">
                  <c:v>640.20500674606637</c:v>
                </c:pt>
                <c:pt idx="15">
                  <c:v>646.15636386810013</c:v>
                </c:pt>
                <c:pt idx="16">
                  <c:v>652.12568725979133</c:v>
                </c:pt>
                <c:pt idx="17">
                  <c:v>658.11296113819435</c:v>
                </c:pt>
                <c:pt idx="18">
                  <c:v>656.14875042141739</c:v>
                </c:pt>
                <c:pt idx="19">
                  <c:v>662.09959532687878</c:v>
                </c:pt>
                <c:pt idx="20">
                  <c:v>668.06812088540312</c:v>
                </c:pt>
                <c:pt idx="21">
                  <c:v>674.05430634369566</c:v>
                </c:pt>
                <c:pt idx="22">
                  <c:v>680.05812961177708</c:v>
                </c:pt>
                <c:pt idx="23">
                  <c:v>686.07956724386531</c:v>
                </c:pt>
                <c:pt idx="24">
                  <c:v>692.11859441904141</c:v>
                </c:pt>
                <c:pt idx="25">
                  <c:v>698.17518492170359</c:v>
                </c:pt>
                <c:pt idx="26">
                  <c:v>704.24931112180082</c:v>
                </c:pt>
                <c:pt idx="27">
                  <c:v>710.34094395484726</c:v>
                </c:pt>
                <c:pt idx="28">
                  <c:v>716.45005290171491</c:v>
                </c:pt>
                <c:pt idx="29">
                  <c:v>722.57660596820222</c:v>
                </c:pt>
                <c:pt idx="30">
                  <c:v>728.72056966437538</c:v>
                </c:pt>
                <c:pt idx="31">
                  <c:v>734.88190898368123</c:v>
                </c:pt>
                <c:pt idx="32">
                  <c:v>741.06058738182855</c:v>
                </c:pt>
                <c:pt idx="33">
                  <c:v>747.2565667554378</c:v>
                </c:pt>
                <c:pt idx="34">
                  <c:v>753.46980742045218</c:v>
                </c:pt>
                <c:pt idx="35">
                  <c:v>759.70026809031299</c:v>
                </c:pt>
                <c:pt idx="36">
                  <c:v>765.94790585389444</c:v>
                </c:pt>
                <c:pt idx="37">
                  <c:v>772.21267615319232</c:v>
                </c:pt>
                <c:pt idx="38">
                  <c:v>778.49453276077566</c:v>
                </c:pt>
                <c:pt idx="39">
                  <c:v>786.97948187328939</c:v>
                </c:pt>
                <c:pt idx="40">
                  <c:v>795.52891659905833</c:v>
                </c:pt>
                <c:pt idx="41">
                  <c:v>804.1433270287431</c:v>
                </c:pt>
                <c:pt idx="42">
                  <c:v>812.82320697769353</c:v>
                </c:pt>
                <c:pt idx="43">
                  <c:v>821.56905401425593</c:v>
                </c:pt>
              </c:numCache>
            </c:numRef>
          </c:val>
          <c:smooth val="0"/>
          <c:extLst>
            <c:ext xmlns:c16="http://schemas.microsoft.com/office/drawing/2014/chart" uri="{C3380CC4-5D6E-409C-BE32-E72D297353CC}">
              <c16:uniqueId val="{00000000-7D3E-446E-BB46-CF378555FC88}"/>
            </c:ext>
          </c:extLst>
        </c:ser>
        <c:ser>
          <c:idx val="1"/>
          <c:order val="1"/>
          <c:tx>
            <c:v>Potable Supply</c:v>
          </c:tx>
          <c:spPr>
            <a:ln w="19050" cap="rnd">
              <a:solidFill>
                <a:schemeClr val="accent2"/>
              </a:solidFill>
              <a:round/>
            </a:ln>
            <a:effectLst/>
          </c:spPr>
          <c:marker>
            <c:symbol val="none"/>
          </c:marker>
          <c:cat>
            <c:numRef>
              <c:f>Sensitivity_Conserve!$B$31:$B$74</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Sensitivity_Conserve!$M$31:$M$74</c:f>
              <c:numCache>
                <c:formatCode>0.00</c:formatCode>
                <c:ptCount val="44"/>
                <c:pt idx="0">
                  <c:v>999.0968879620001</c:v>
                </c:pt>
                <c:pt idx="1">
                  <c:v>1001.7486849927368</c:v>
                </c:pt>
                <c:pt idx="2">
                  <c:v>1004.4004820234737</c:v>
                </c:pt>
                <c:pt idx="3">
                  <c:v>1007.0522790542104</c:v>
                </c:pt>
                <c:pt idx="4">
                  <c:v>1009.7040760849472</c:v>
                </c:pt>
                <c:pt idx="5">
                  <c:v>1012.3558731156843</c:v>
                </c:pt>
                <c:pt idx="6">
                  <c:v>1015.007670146421</c:v>
                </c:pt>
                <c:pt idx="7">
                  <c:v>1017.6594671771577</c:v>
                </c:pt>
                <c:pt idx="8">
                  <c:v>1020.3112642078946</c:v>
                </c:pt>
                <c:pt idx="9">
                  <c:v>1022.9630612386316</c:v>
                </c:pt>
                <c:pt idx="10">
                  <c:v>1025.6148582693684</c:v>
                </c:pt>
                <c:pt idx="11">
                  <c:v>1028.266655300105</c:v>
                </c:pt>
                <c:pt idx="12">
                  <c:v>1030.9184523308418</c:v>
                </c:pt>
                <c:pt idx="13">
                  <c:v>1033.5702493615786</c:v>
                </c:pt>
                <c:pt idx="14">
                  <c:v>1036.2220463923156</c:v>
                </c:pt>
                <c:pt idx="15">
                  <c:v>1038.8738434230524</c:v>
                </c:pt>
                <c:pt idx="16">
                  <c:v>1041.5256404537893</c:v>
                </c:pt>
                <c:pt idx="17">
                  <c:v>1044.1774374845261</c:v>
                </c:pt>
                <c:pt idx="18">
                  <c:v>640.29513626526273</c:v>
                </c:pt>
                <c:pt idx="19">
                  <c:v>642.94693329599966</c:v>
                </c:pt>
                <c:pt idx="20">
                  <c:v>645.59873032673659</c:v>
                </c:pt>
                <c:pt idx="21">
                  <c:v>648.2505273574734</c:v>
                </c:pt>
                <c:pt idx="22">
                  <c:v>650.90232438821022</c:v>
                </c:pt>
                <c:pt idx="23">
                  <c:v>653.55412141894703</c:v>
                </c:pt>
                <c:pt idx="24">
                  <c:v>656.20591844968385</c:v>
                </c:pt>
                <c:pt idx="25">
                  <c:v>658.85771548042067</c:v>
                </c:pt>
                <c:pt idx="26">
                  <c:v>661.50951251115748</c:v>
                </c:pt>
                <c:pt idx="27">
                  <c:v>664.16130954189418</c:v>
                </c:pt>
                <c:pt idx="28">
                  <c:v>666.81310657263111</c:v>
                </c:pt>
                <c:pt idx="29">
                  <c:v>669.46490360336793</c:v>
                </c:pt>
                <c:pt idx="30">
                  <c:v>672.11670063410475</c:v>
                </c:pt>
                <c:pt idx="31">
                  <c:v>674.76849766484156</c:v>
                </c:pt>
                <c:pt idx="32">
                  <c:v>677.42029469557838</c:v>
                </c:pt>
                <c:pt idx="33">
                  <c:v>680.07209172631519</c:v>
                </c:pt>
                <c:pt idx="34">
                  <c:v>682.72388875705201</c:v>
                </c:pt>
                <c:pt idx="35">
                  <c:v>685.37568578778883</c:v>
                </c:pt>
                <c:pt idx="36">
                  <c:v>688.02748281852564</c:v>
                </c:pt>
                <c:pt idx="37">
                  <c:v>690.67927984926246</c:v>
                </c:pt>
                <c:pt idx="38">
                  <c:v>693.33107688000007</c:v>
                </c:pt>
                <c:pt idx="39">
                  <c:v>693.33107688000007</c:v>
                </c:pt>
                <c:pt idx="40">
                  <c:v>693.33107688000007</c:v>
                </c:pt>
                <c:pt idx="41">
                  <c:v>693.33107688000007</c:v>
                </c:pt>
                <c:pt idx="42">
                  <c:v>693.33107688000007</c:v>
                </c:pt>
                <c:pt idx="43">
                  <c:v>693.33107688000007</c:v>
                </c:pt>
              </c:numCache>
            </c:numRef>
          </c:val>
          <c:smooth val="0"/>
          <c:extLst>
            <c:ext xmlns:c16="http://schemas.microsoft.com/office/drawing/2014/chart" uri="{C3380CC4-5D6E-409C-BE32-E72D297353CC}">
              <c16:uniqueId val="{00000001-7D3E-446E-BB46-CF378555FC88}"/>
            </c:ext>
          </c:extLst>
        </c:ser>
        <c:ser>
          <c:idx val="2"/>
          <c:order val="2"/>
          <c:tx>
            <c:v>Potable Demand (Target +10%)</c:v>
          </c:tx>
          <c:spPr>
            <a:ln w="19050" cap="rnd">
              <a:solidFill>
                <a:srgbClr val="C00000"/>
              </a:solidFill>
              <a:prstDash val="sysDot"/>
              <a:round/>
            </a:ln>
            <a:effectLst/>
          </c:spPr>
          <c:marker>
            <c:symbol val="none"/>
          </c:marker>
          <c:cat>
            <c:numRef>
              <c:f>Sensitivity_Conserve!$B$31:$B$74</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Sensitivity_Conserve!$H$31:$H$74</c:f>
              <c:numCache>
                <c:formatCode>0.00</c:formatCode>
                <c:ptCount val="44"/>
                <c:pt idx="0">
                  <c:v>641.15331284034266</c:v>
                </c:pt>
                <c:pt idx="1">
                  <c:v>644.40536408691617</c:v>
                </c:pt>
                <c:pt idx="2">
                  <c:v>647.59479403127477</c:v>
                </c:pt>
                <c:pt idx="3">
                  <c:v>650.72065282845267</c:v>
                </c:pt>
                <c:pt idx="4">
                  <c:v>653.781979812847</c:v>
                </c:pt>
                <c:pt idx="5">
                  <c:v>656.77780338860691</c:v>
                </c:pt>
                <c:pt idx="6">
                  <c:v>659.70714091898287</c:v>
                </c:pt>
                <c:pt idx="7">
                  <c:v>662.5689986146225</c:v>
                </c:pt>
                <c:pt idx="8">
                  <c:v>665.36237142081018</c:v>
                </c:pt>
                <c:pt idx="9">
                  <c:v>671.78999848263425</c:v>
                </c:pt>
                <c:pt idx="10">
                  <c:v>678.23746420713667</c:v>
                </c:pt>
                <c:pt idx="11">
                  <c:v>684.70475925040785</c:v>
                </c:pt>
                <c:pt idx="12">
                  <c:v>691.19187298062934</c:v>
                </c:pt>
                <c:pt idx="13">
                  <c:v>697.6987934590378</c:v>
                </c:pt>
                <c:pt idx="14">
                  <c:v>704.22550742067313</c:v>
                </c:pt>
                <c:pt idx="15">
                  <c:v>710.77200025491027</c:v>
                </c:pt>
                <c:pt idx="16">
                  <c:v>717.33825598577062</c:v>
                </c:pt>
                <c:pt idx="17">
                  <c:v>723.92425725201383</c:v>
                </c:pt>
                <c:pt idx="18">
                  <c:v>721.76362546355904</c:v>
                </c:pt>
                <c:pt idx="19">
                  <c:v>728.3095548595669</c:v>
                </c:pt>
                <c:pt idx="20">
                  <c:v>734.8749329739436</c:v>
                </c:pt>
                <c:pt idx="21">
                  <c:v>741.45973697806528</c:v>
                </c:pt>
                <c:pt idx="22">
                  <c:v>748.06394257295506</c:v>
                </c:pt>
                <c:pt idx="23">
                  <c:v>754.68752396825209</c:v>
                </c:pt>
                <c:pt idx="24">
                  <c:v>761.33045386094579</c:v>
                </c:pt>
                <c:pt idx="25">
                  <c:v>767.99270341387421</c:v>
                </c:pt>
                <c:pt idx="26">
                  <c:v>774.67424223398109</c:v>
                </c:pt>
                <c:pt idx="27">
                  <c:v>781.37503835033203</c:v>
                </c:pt>
                <c:pt idx="28">
                  <c:v>788.09505819188655</c:v>
                </c:pt>
                <c:pt idx="29">
                  <c:v>794.83426656502286</c:v>
                </c:pt>
                <c:pt idx="30">
                  <c:v>801.59262663081324</c:v>
                </c:pt>
                <c:pt idx="31">
                  <c:v>808.37009988204954</c:v>
                </c:pt>
                <c:pt idx="32">
                  <c:v>815.16664612001171</c:v>
                </c:pt>
                <c:pt idx="33">
                  <c:v>821.98222343098189</c:v>
                </c:pt>
                <c:pt idx="34">
                  <c:v>828.8167881624978</c:v>
                </c:pt>
                <c:pt idx="35">
                  <c:v>835.67029489934475</c:v>
                </c:pt>
                <c:pt idx="36">
                  <c:v>842.5426964392841</c:v>
                </c:pt>
                <c:pt idx="37">
                  <c:v>849.43394376851222</c:v>
                </c:pt>
                <c:pt idx="38">
                  <c:v>856.34398603685315</c:v>
                </c:pt>
                <c:pt idx="39">
                  <c:v>865.67743006061846</c:v>
                </c:pt>
                <c:pt idx="40">
                  <c:v>875.08180825896432</c:v>
                </c:pt>
                <c:pt idx="41">
                  <c:v>884.55765973161749</c:v>
                </c:pt>
                <c:pt idx="42">
                  <c:v>894.10552767546312</c:v>
                </c:pt>
                <c:pt idx="43">
                  <c:v>903.7259594156817</c:v>
                </c:pt>
              </c:numCache>
            </c:numRef>
          </c:val>
          <c:smooth val="0"/>
          <c:extLst>
            <c:ext xmlns:c16="http://schemas.microsoft.com/office/drawing/2014/chart" uri="{C3380CC4-5D6E-409C-BE32-E72D297353CC}">
              <c16:uniqueId val="{00000002-7D3E-446E-BB46-CF378555FC88}"/>
            </c:ext>
          </c:extLst>
        </c:ser>
        <c:ser>
          <c:idx val="3"/>
          <c:order val="3"/>
          <c:tx>
            <c:v>Potable Demand (Target -10%)</c:v>
          </c:tx>
          <c:spPr>
            <a:ln w="19050" cap="rnd">
              <a:solidFill>
                <a:srgbClr val="C00000"/>
              </a:solidFill>
              <a:prstDash val="sysDot"/>
              <a:round/>
            </a:ln>
            <a:effectLst/>
          </c:spPr>
          <c:marker>
            <c:symbol val="none"/>
          </c:marker>
          <c:cat>
            <c:numRef>
              <c:f>Sensitivity_Conserve!$B$31:$B$74</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Sensitivity_Conserve!$F$31:$F$73</c:f>
              <c:numCache>
                <c:formatCode>0.00</c:formatCode>
                <c:ptCount val="43"/>
                <c:pt idx="0">
                  <c:v>619.25144527292775</c:v>
                </c:pt>
                <c:pt idx="1">
                  <c:v>611.13390837555619</c:v>
                </c:pt>
                <c:pt idx="2">
                  <c:v>602.67040490496072</c:v>
                </c:pt>
                <c:pt idx="3">
                  <c:v>593.85676294057794</c:v>
                </c:pt>
                <c:pt idx="4">
                  <c:v>584.68876713168152</c:v>
                </c:pt>
                <c:pt idx="5">
                  <c:v>575.16215827821281</c:v>
                </c:pt>
                <c:pt idx="6">
                  <c:v>565.27263290775079</c:v>
                </c:pt>
                <c:pt idx="7">
                  <c:v>555.01584284858302</c:v>
                </c:pt>
                <c:pt idx="8">
                  <c:v>544.38739479884464</c:v>
                </c:pt>
                <c:pt idx="9">
                  <c:v>549.64636239488243</c:v>
                </c:pt>
                <c:pt idx="10">
                  <c:v>554.92156162402091</c:v>
                </c:pt>
                <c:pt idx="11">
                  <c:v>560.2129848412427</c:v>
                </c:pt>
                <c:pt idx="12">
                  <c:v>565.52062334778759</c:v>
                </c:pt>
                <c:pt idx="13">
                  <c:v>570.8444673755763</c:v>
                </c:pt>
                <c:pt idx="14">
                  <c:v>576.18450607145962</c:v>
                </c:pt>
                <c:pt idx="15">
                  <c:v>581.54072748128999</c:v>
                </c:pt>
                <c:pt idx="16">
                  <c:v>586.91311853381217</c:v>
                </c:pt>
                <c:pt idx="17">
                  <c:v>592.30166502437487</c:v>
                </c:pt>
                <c:pt idx="18">
                  <c:v>590.53387537927563</c:v>
                </c:pt>
                <c:pt idx="19">
                  <c:v>595.88963579419101</c:v>
                </c:pt>
                <c:pt idx="20">
                  <c:v>601.26130879686264</c:v>
                </c:pt>
                <c:pt idx="21">
                  <c:v>606.64887570932592</c:v>
                </c:pt>
                <c:pt idx="22">
                  <c:v>612.05231665059944</c:v>
                </c:pt>
                <c:pt idx="23">
                  <c:v>617.47161051947853</c:v>
                </c:pt>
                <c:pt idx="24">
                  <c:v>622.90673497713715</c:v>
                </c:pt>
                <c:pt idx="25">
                  <c:v>628.3576664295332</c:v>
                </c:pt>
                <c:pt idx="26">
                  <c:v>633.82438000962054</c:v>
                </c:pt>
                <c:pt idx="27">
                  <c:v>639.30684955936226</c:v>
                </c:pt>
                <c:pt idx="28">
                  <c:v>644.80504761154305</c:v>
                </c:pt>
                <c:pt idx="29">
                  <c:v>650.3189453713818</c:v>
                </c:pt>
                <c:pt idx="30">
                  <c:v>655.84851269793762</c:v>
                </c:pt>
                <c:pt idx="31">
                  <c:v>661.39371808531291</c:v>
                </c:pt>
                <c:pt idx="32">
                  <c:v>666.95452864364563</c:v>
                </c:pt>
                <c:pt idx="33">
                  <c:v>672.5309100798936</c:v>
                </c:pt>
                <c:pt idx="34">
                  <c:v>678.1228266784068</c:v>
                </c:pt>
                <c:pt idx="35">
                  <c:v>683.73024128128145</c:v>
                </c:pt>
                <c:pt idx="36">
                  <c:v>689.35311526850467</c:v>
                </c:pt>
                <c:pt idx="37">
                  <c:v>694.9914085378731</c:v>
                </c:pt>
                <c:pt idx="38">
                  <c:v>700.64507948469793</c:v>
                </c:pt>
                <c:pt idx="39">
                  <c:v>708.28153368596065</c:v>
                </c:pt>
                <c:pt idx="40">
                  <c:v>715.97602493915247</c:v>
                </c:pt>
                <c:pt idx="41">
                  <c:v>723.72899432586883</c:v>
                </c:pt>
                <c:pt idx="42">
                  <c:v>731.54088627992417</c:v>
                </c:pt>
              </c:numCache>
            </c:numRef>
          </c:val>
          <c:smooth val="0"/>
          <c:extLst>
            <c:ext xmlns:c16="http://schemas.microsoft.com/office/drawing/2014/chart" uri="{C3380CC4-5D6E-409C-BE32-E72D297353CC}">
              <c16:uniqueId val="{00000003-7D3E-446E-BB46-CF378555FC88}"/>
            </c:ext>
          </c:extLst>
        </c:ser>
        <c:dLbls>
          <c:showLegendKey val="0"/>
          <c:showVal val="0"/>
          <c:showCatName val="0"/>
          <c:showSerName val="0"/>
          <c:showPercent val="0"/>
          <c:showBubbleSize val="0"/>
        </c:dLbls>
        <c:smooth val="0"/>
        <c:axId val="2086673775"/>
        <c:axId val="2086676271"/>
      </c:lineChart>
      <c:catAx>
        <c:axId val="20866737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676271"/>
        <c:crosses val="autoZero"/>
        <c:auto val="1"/>
        <c:lblAlgn val="ctr"/>
        <c:lblOffset val="100"/>
        <c:noMultiLvlLbl val="0"/>
      </c:catAx>
      <c:valAx>
        <c:axId val="20866762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 (million m^3)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673775"/>
        <c:crosses val="autoZero"/>
        <c:crossBetween val="between"/>
      </c:valAx>
      <c:spPr>
        <a:noFill/>
        <a:ln>
          <a:noFill/>
        </a:ln>
        <a:effectLst/>
      </c:spPr>
    </c:plotArea>
    <c:legend>
      <c:legendPos val="b"/>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Demand</a:t>
            </a:r>
            <a:r>
              <a:rPr lang="en-SG" baseline="0"/>
              <a:t> and Supply of Non-</a:t>
            </a:r>
            <a:r>
              <a:rPr lang="en-SG"/>
              <a:t>Potable Water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Non-Potable Demand (On Target)</c:v>
          </c:tx>
          <c:spPr>
            <a:ln w="19050" cap="rnd">
              <a:solidFill>
                <a:srgbClr val="C00000"/>
              </a:solidFill>
              <a:round/>
            </a:ln>
            <a:effectLst/>
          </c:spPr>
          <c:marker>
            <c:symbol val="none"/>
          </c:marker>
          <c:cat>
            <c:numRef>
              <c:f>Sensitivity_Conserve!$B$31:$B$74</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Sensitivity_Conserve!$E$31:$E$74</c:f>
              <c:numCache>
                <c:formatCode>0.00</c:formatCode>
                <c:ptCount val="44"/>
                <c:pt idx="0">
                  <c:v>123.56712497714432</c:v>
                </c:pt>
                <c:pt idx="1">
                  <c:v>129.67819605592661</c:v>
                </c:pt>
                <c:pt idx="2">
                  <c:v>135.82591504601783</c:v>
                </c:pt>
                <c:pt idx="3">
                  <c:v>142.00547445989014</c:v>
                </c:pt>
                <c:pt idx="4">
                  <c:v>148.21177262103936</c:v>
                </c:pt>
                <c:pt idx="5">
                  <c:v>154.43939712615213</c:v>
                </c:pt>
                <c:pt idx="6">
                  <c:v>160.68260725182074</c:v>
                </c:pt>
                <c:pt idx="7">
                  <c:v>166.93531522734111</c:v>
                </c:pt>
                <c:pt idx="8">
                  <c:v>173.19106628841462</c:v>
                </c:pt>
                <c:pt idx="9">
                  <c:v>182.42518887558731</c:v>
                </c:pt>
                <c:pt idx="10">
                  <c:v>191.97671920774599</c:v>
                </c:pt>
                <c:pt idx="11">
                  <c:v>201.85670588242294</c:v>
                </c:pt>
                <c:pt idx="12">
                  <c:v>212.07669134218656</c:v>
                </c:pt>
                <c:pt idx="13">
                  <c:v>222.64873975686021</c:v>
                </c:pt>
                <c:pt idx="14">
                  <c:v>233.58546681963708</c:v>
                </c:pt>
                <c:pt idx="15">
                  <c:v>244.9000716122157</c:v>
                </c:pt>
                <c:pt idx="16">
                  <c:v>256.60637070860889</c:v>
                </c:pt>
                <c:pt idx="17">
                  <c:v>268.71883470337218</c:v>
                </c:pt>
                <c:pt idx="18">
                  <c:v>277.87759583941033</c:v>
                </c:pt>
                <c:pt idx="19">
                  <c:v>290.6929638857099</c:v>
                </c:pt>
                <c:pt idx="20">
                  <c:v>303.9567919190506</c:v>
                </c:pt>
                <c:pt idx="21">
                  <c:v>317.68637784661985</c:v>
                </c:pt>
                <c:pt idx="22">
                  <c:v>331.89988989781341</c:v>
                </c:pt>
                <c:pt idx="23">
                  <c:v>346.6164220750976</c:v>
                </c:pt>
                <c:pt idx="24">
                  <c:v>361.85605390423791</c:v>
                </c:pt>
                <c:pt idx="25">
                  <c:v>377.6399148779949</c:v>
                </c:pt>
                <c:pt idx="26">
                  <c:v>393.99025402923644</c:v>
                </c:pt>
                <c:pt idx="27">
                  <c:v>410.93051511631722</c:v>
                </c:pt>
                <c:pt idx="28">
                  <c:v>428.48541795622396</c:v>
                </c:pt>
                <c:pt idx="29">
                  <c:v>446.6810465001945</c:v>
                </c:pt>
                <c:pt idx="30">
                  <c:v>465.54494431319051</c:v>
                </c:pt>
                <c:pt idx="31">
                  <c:v>485.10621819379844</c:v>
                </c:pt>
                <c:pt idx="32">
                  <c:v>505.39565075609312</c:v>
                </c:pt>
                <c:pt idx="33">
                  <c:v>526.44582289114032</c:v>
                </c:pt>
                <c:pt idx="34">
                  <c:v>548.29124713480212</c:v>
                </c:pt>
                <c:pt idx="35">
                  <c:v>570.96851309227497</c:v>
                </c:pt>
                <c:pt idx="36">
                  <c:v>594.51644621060404</c:v>
                </c:pt>
                <c:pt idx="37">
                  <c:v>618.97628135092748</c:v>
                </c:pt>
                <c:pt idx="38">
                  <c:v>644.39185279548656</c:v>
                </c:pt>
                <c:pt idx="39">
                  <c:v>651.41519316513359</c:v>
                </c:pt>
                <c:pt idx="40">
                  <c:v>658.49191092158969</c:v>
                </c:pt>
                <c:pt idx="41">
                  <c:v>665.62241173299526</c:v>
                </c:pt>
                <c:pt idx="42">
                  <c:v>672.80710435056722</c:v>
                </c:pt>
                <c:pt idx="43">
                  <c:v>680.04640063203294</c:v>
                </c:pt>
              </c:numCache>
            </c:numRef>
          </c:val>
          <c:smooth val="0"/>
          <c:extLst>
            <c:ext xmlns:c16="http://schemas.microsoft.com/office/drawing/2014/chart" uri="{C3380CC4-5D6E-409C-BE32-E72D297353CC}">
              <c16:uniqueId val="{00000000-D632-4BED-9BD2-C42CDC7F8A9D}"/>
            </c:ext>
          </c:extLst>
        </c:ser>
        <c:ser>
          <c:idx val="1"/>
          <c:order val="1"/>
          <c:tx>
            <c:v>Non-Potable Supply</c:v>
          </c:tx>
          <c:spPr>
            <a:ln w="28575" cap="rnd">
              <a:solidFill>
                <a:schemeClr val="accent2"/>
              </a:solidFill>
              <a:round/>
            </a:ln>
            <a:effectLst/>
          </c:spPr>
          <c:marker>
            <c:symbol val="none"/>
          </c:marker>
          <c:cat>
            <c:numRef>
              <c:f>Sensitivity_Conserve!$B$31:$B$74</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Sensitivity_Conserve!$N$31:$N$74</c:f>
              <c:numCache>
                <c:formatCode>0.00</c:formatCode>
                <c:ptCount val="44"/>
                <c:pt idx="0">
                  <c:v>247.39999999999998</c:v>
                </c:pt>
                <c:pt idx="1">
                  <c:v>247.39999999999998</c:v>
                </c:pt>
                <c:pt idx="2">
                  <c:v>247.39999999999998</c:v>
                </c:pt>
                <c:pt idx="3">
                  <c:v>247.39999999999998</c:v>
                </c:pt>
                <c:pt idx="4">
                  <c:v>247.39999999999998</c:v>
                </c:pt>
                <c:pt idx="5">
                  <c:v>247.39999999999998</c:v>
                </c:pt>
                <c:pt idx="6">
                  <c:v>247.39999999999998</c:v>
                </c:pt>
                <c:pt idx="7">
                  <c:v>247.39999999999998</c:v>
                </c:pt>
                <c:pt idx="8">
                  <c:v>247.39999999999998</c:v>
                </c:pt>
                <c:pt idx="9">
                  <c:v>247.39999999999998</c:v>
                </c:pt>
                <c:pt idx="10">
                  <c:v>247.39999999999998</c:v>
                </c:pt>
                <c:pt idx="11">
                  <c:v>247.39999999999998</c:v>
                </c:pt>
                <c:pt idx="12">
                  <c:v>247.39999999999998</c:v>
                </c:pt>
                <c:pt idx="13">
                  <c:v>247.39999999999998</c:v>
                </c:pt>
                <c:pt idx="14">
                  <c:v>247.39999999999998</c:v>
                </c:pt>
                <c:pt idx="15">
                  <c:v>247.39999999999998</c:v>
                </c:pt>
                <c:pt idx="16">
                  <c:v>247.39999999999998</c:v>
                </c:pt>
                <c:pt idx="17">
                  <c:v>247.39999999999998</c:v>
                </c:pt>
                <c:pt idx="18">
                  <c:v>247.39999999999998</c:v>
                </c:pt>
                <c:pt idx="19">
                  <c:v>247.39999999999998</c:v>
                </c:pt>
                <c:pt idx="20">
                  <c:v>247.39999999999998</c:v>
                </c:pt>
                <c:pt idx="21">
                  <c:v>247.39999999999998</c:v>
                </c:pt>
                <c:pt idx="22">
                  <c:v>247.39999999999998</c:v>
                </c:pt>
                <c:pt idx="23">
                  <c:v>247.39999999999998</c:v>
                </c:pt>
                <c:pt idx="24">
                  <c:v>247.39999999999998</c:v>
                </c:pt>
                <c:pt idx="25">
                  <c:v>247.39999999999998</c:v>
                </c:pt>
                <c:pt idx="26">
                  <c:v>247.39999999999998</c:v>
                </c:pt>
                <c:pt idx="27">
                  <c:v>247.39999999999998</c:v>
                </c:pt>
                <c:pt idx="28">
                  <c:v>247.39999999999998</c:v>
                </c:pt>
                <c:pt idx="29">
                  <c:v>247.39999999999998</c:v>
                </c:pt>
                <c:pt idx="30">
                  <c:v>247.39999999999998</c:v>
                </c:pt>
                <c:pt idx="31">
                  <c:v>247.39999999999998</c:v>
                </c:pt>
                <c:pt idx="32">
                  <c:v>247.39999999999998</c:v>
                </c:pt>
                <c:pt idx="33">
                  <c:v>247.39999999999998</c:v>
                </c:pt>
                <c:pt idx="34">
                  <c:v>247.39999999999998</c:v>
                </c:pt>
                <c:pt idx="35">
                  <c:v>247.39999999999998</c:v>
                </c:pt>
                <c:pt idx="36">
                  <c:v>247.39999999999998</c:v>
                </c:pt>
                <c:pt idx="37">
                  <c:v>247.39999999999998</c:v>
                </c:pt>
                <c:pt idx="38">
                  <c:v>247.39999999999998</c:v>
                </c:pt>
                <c:pt idx="39">
                  <c:v>247.39999999999998</c:v>
                </c:pt>
                <c:pt idx="40">
                  <c:v>247.39999999999998</c:v>
                </c:pt>
                <c:pt idx="41">
                  <c:v>247.39999999999998</c:v>
                </c:pt>
                <c:pt idx="42">
                  <c:v>247.39999999999998</c:v>
                </c:pt>
                <c:pt idx="43">
                  <c:v>247.39999999999998</c:v>
                </c:pt>
              </c:numCache>
            </c:numRef>
          </c:val>
          <c:smooth val="0"/>
          <c:extLst>
            <c:ext xmlns:c16="http://schemas.microsoft.com/office/drawing/2014/chart" uri="{C3380CC4-5D6E-409C-BE32-E72D297353CC}">
              <c16:uniqueId val="{00000001-D632-4BED-9BD2-C42CDC7F8A9D}"/>
            </c:ext>
          </c:extLst>
        </c:ser>
        <c:ser>
          <c:idx val="2"/>
          <c:order val="2"/>
          <c:tx>
            <c:v>Non-Potable Demand (Target +10%)</c:v>
          </c:tx>
          <c:spPr>
            <a:ln w="19050" cap="rnd">
              <a:solidFill>
                <a:srgbClr val="C00000"/>
              </a:solidFill>
              <a:prstDash val="sysDot"/>
              <a:round/>
            </a:ln>
            <a:effectLst/>
          </c:spPr>
          <c:marker>
            <c:symbol val="none"/>
          </c:marker>
          <c:cat>
            <c:numRef>
              <c:f>Sensitivity_Conserve!$B$31:$B$74</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Sensitivity_Conserve!$I$31:$I$74</c:f>
              <c:numCache>
                <c:formatCode>0.00</c:formatCode>
                <c:ptCount val="44"/>
                <c:pt idx="0">
                  <c:v>125.71433268126873</c:v>
                </c:pt>
                <c:pt idx="1">
                  <c:v>133.11463365006239</c:v>
                </c:pt>
                <c:pt idx="2">
                  <c:v>140.70639661597329</c:v>
                </c:pt>
                <c:pt idx="3">
                  <c:v>148.49360734809079</c:v>
                </c:pt>
                <c:pt idx="4">
                  <c:v>156.48037933042065</c:v>
                </c:pt>
                <c:pt idx="5">
                  <c:v>164.67095988011727</c:v>
                </c:pt>
                <c:pt idx="6">
                  <c:v>173.06973664448435</c:v>
                </c:pt>
                <c:pt idx="7">
                  <c:v>181.68124450478092</c:v>
                </c:pt>
                <c:pt idx="8">
                  <c:v>190.51017291725611</c:v>
                </c:pt>
                <c:pt idx="9">
                  <c:v>200.66770776314615</c:v>
                </c:pt>
                <c:pt idx="10">
                  <c:v>211.1743911285206</c:v>
                </c:pt>
                <c:pt idx="11">
                  <c:v>222.04237647066509</c:v>
                </c:pt>
                <c:pt idx="12">
                  <c:v>233.28436047640537</c:v>
                </c:pt>
                <c:pt idx="13">
                  <c:v>244.91361373254631</c:v>
                </c:pt>
                <c:pt idx="14">
                  <c:v>256.94401350160092</c:v>
                </c:pt>
                <c:pt idx="15">
                  <c:v>269.39007877343738</c:v>
                </c:pt>
                <c:pt idx="16">
                  <c:v>282.26700777946985</c:v>
                </c:pt>
                <c:pt idx="17">
                  <c:v>295.59071817370955</c:v>
                </c:pt>
                <c:pt idx="18">
                  <c:v>305.66535542335146</c:v>
                </c:pt>
                <c:pt idx="19">
                  <c:v>319.76226027428095</c:v>
                </c:pt>
                <c:pt idx="20">
                  <c:v>334.35247111095566</c:v>
                </c:pt>
                <c:pt idx="21">
                  <c:v>349.45501563128232</c:v>
                </c:pt>
                <c:pt idx="22">
                  <c:v>365.08987888759486</c:v>
                </c:pt>
                <c:pt idx="23">
                  <c:v>381.27806428260715</c:v>
                </c:pt>
                <c:pt idx="24">
                  <c:v>398.04165929466171</c:v>
                </c:pt>
                <c:pt idx="25">
                  <c:v>415.40390636579434</c:v>
                </c:pt>
                <c:pt idx="26">
                  <c:v>433.38927943216004</c:v>
                </c:pt>
                <c:pt idx="27">
                  <c:v>452.02356662794921</c:v>
                </c:pt>
                <c:pt idx="28">
                  <c:v>471.33395975184658</c:v>
                </c:pt>
                <c:pt idx="29">
                  <c:v>491.34915115021408</c:v>
                </c:pt>
                <c:pt idx="30">
                  <c:v>512.0994387445096</c:v>
                </c:pt>
                <c:pt idx="31">
                  <c:v>533.61684001317872</c:v>
                </c:pt>
                <c:pt idx="32">
                  <c:v>555.93521583170264</c:v>
                </c:pt>
                <c:pt idx="33">
                  <c:v>579.09040518025461</c:v>
                </c:pt>
                <c:pt idx="34">
                  <c:v>603.12037184828284</c:v>
                </c:pt>
                <c:pt idx="35">
                  <c:v>628.06536440150285</c:v>
                </c:pt>
                <c:pt idx="36">
                  <c:v>653.96809083166522</c:v>
                </c:pt>
                <c:pt idx="37">
                  <c:v>680.87390948602047</c:v>
                </c:pt>
                <c:pt idx="38">
                  <c:v>708.83103807503539</c:v>
                </c:pt>
                <c:pt idx="39">
                  <c:v>716.55671248164697</c:v>
                </c:pt>
                <c:pt idx="40">
                  <c:v>724.34110201374892</c:v>
                </c:pt>
                <c:pt idx="41">
                  <c:v>732.18465290629479</c:v>
                </c:pt>
                <c:pt idx="42">
                  <c:v>740.087814785624</c:v>
                </c:pt>
                <c:pt idx="43">
                  <c:v>748.05104069523634</c:v>
                </c:pt>
              </c:numCache>
            </c:numRef>
          </c:val>
          <c:smooth val="0"/>
          <c:extLst>
            <c:ext xmlns:c16="http://schemas.microsoft.com/office/drawing/2014/chart" uri="{C3380CC4-5D6E-409C-BE32-E72D297353CC}">
              <c16:uniqueId val="{00000002-D632-4BED-9BD2-C42CDC7F8A9D}"/>
            </c:ext>
          </c:extLst>
        </c:ser>
        <c:ser>
          <c:idx val="3"/>
          <c:order val="3"/>
          <c:tx>
            <c:v>Non-Potable Demand (Target -10%)</c:v>
          </c:tx>
          <c:spPr>
            <a:ln w="19050" cap="rnd">
              <a:solidFill>
                <a:srgbClr val="C00000"/>
              </a:solidFill>
              <a:prstDash val="sysDot"/>
              <a:round/>
            </a:ln>
            <a:effectLst/>
          </c:spPr>
          <c:marker>
            <c:symbol val="none"/>
          </c:marker>
          <c:cat>
            <c:numRef>
              <c:f>Sensitivity_Conserve!$B$31:$B$74</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Sensitivity_Conserve!$G$31:$G$74</c:f>
              <c:numCache>
                <c:formatCode>0.00</c:formatCode>
                <c:ptCount val="44"/>
                <c:pt idx="0">
                  <c:v>121.41991727302036</c:v>
                </c:pt>
                <c:pt idx="1">
                  <c:v>126.24175846179094</c:v>
                </c:pt>
                <c:pt idx="2">
                  <c:v>130.94543347606248</c:v>
                </c:pt>
                <c:pt idx="3">
                  <c:v>135.51734157168988</c:v>
                </c:pt>
                <c:pt idx="4">
                  <c:v>139.9431659116583</c:v>
                </c:pt>
                <c:pt idx="5">
                  <c:v>144.20783437218734</c:v>
                </c:pt>
                <c:pt idx="6">
                  <c:v>148.29547785915707</c:v>
                </c:pt>
                <c:pt idx="7">
                  <c:v>152.18938594990129</c:v>
                </c:pt>
                <c:pt idx="8">
                  <c:v>155.87195965957312</c:v>
                </c:pt>
                <c:pt idx="9">
                  <c:v>164.18266998802881</c:v>
                </c:pt>
                <c:pt idx="10">
                  <c:v>172.77904728697138</c:v>
                </c:pt>
                <c:pt idx="11">
                  <c:v>181.67103529418057</c:v>
                </c:pt>
                <c:pt idx="12">
                  <c:v>190.86902220796793</c:v>
                </c:pt>
                <c:pt idx="13">
                  <c:v>200.38386578117411</c:v>
                </c:pt>
                <c:pt idx="14">
                  <c:v>210.22692013767346</c:v>
                </c:pt>
                <c:pt idx="15">
                  <c:v>220.41006445099407</c:v>
                </c:pt>
                <c:pt idx="16">
                  <c:v>230.94573363774799</c:v>
                </c:pt>
                <c:pt idx="17">
                  <c:v>241.84695123303499</c:v>
                </c:pt>
                <c:pt idx="18">
                  <c:v>250.08983625546921</c:v>
                </c:pt>
                <c:pt idx="19">
                  <c:v>261.62366749713891</c:v>
                </c:pt>
                <c:pt idx="20">
                  <c:v>273.56111272714566</c:v>
                </c:pt>
                <c:pt idx="21">
                  <c:v>285.91774006195794</c:v>
                </c:pt>
                <c:pt idx="22">
                  <c:v>298.70990090803195</c:v>
                </c:pt>
                <c:pt idx="23">
                  <c:v>311.95477986758772</c:v>
                </c:pt>
                <c:pt idx="24">
                  <c:v>325.67044851381411</c:v>
                </c:pt>
                <c:pt idx="25">
                  <c:v>339.87592339019534</c:v>
                </c:pt>
                <c:pt idx="26">
                  <c:v>354.59122862631261</c:v>
                </c:pt>
                <c:pt idx="27">
                  <c:v>369.83746360468547</c:v>
                </c:pt>
                <c:pt idx="28">
                  <c:v>385.63687616060145</c:v>
                </c:pt>
                <c:pt idx="29">
                  <c:v>402.01294185017491</c:v>
                </c:pt>
                <c:pt idx="30">
                  <c:v>418.99044988187131</c:v>
                </c:pt>
                <c:pt idx="31">
                  <c:v>436.59559637441839</c:v>
                </c:pt>
                <c:pt idx="32">
                  <c:v>454.85608568048337</c:v>
                </c:pt>
                <c:pt idx="33">
                  <c:v>473.80124060202604</c:v>
                </c:pt>
                <c:pt idx="34">
                  <c:v>493.46212242132185</c:v>
                </c:pt>
                <c:pt idx="35">
                  <c:v>513.8716617830471</c:v>
                </c:pt>
                <c:pt idx="36">
                  <c:v>535.06480158954355</c:v>
                </c:pt>
                <c:pt idx="37">
                  <c:v>557.07865321583427</c:v>
                </c:pt>
                <c:pt idx="38">
                  <c:v>579.95266751593795</c:v>
                </c:pt>
                <c:pt idx="39">
                  <c:v>586.27367384862021</c:v>
                </c:pt>
                <c:pt idx="40">
                  <c:v>592.64271982943114</c:v>
                </c:pt>
                <c:pt idx="41">
                  <c:v>599.06017055969562</c:v>
                </c:pt>
                <c:pt idx="42">
                  <c:v>605.52639391551065</c:v>
                </c:pt>
                <c:pt idx="43">
                  <c:v>612.04176056882966</c:v>
                </c:pt>
              </c:numCache>
            </c:numRef>
          </c:val>
          <c:smooth val="0"/>
          <c:extLst>
            <c:ext xmlns:c16="http://schemas.microsoft.com/office/drawing/2014/chart" uri="{C3380CC4-5D6E-409C-BE32-E72D297353CC}">
              <c16:uniqueId val="{00000003-D632-4BED-9BD2-C42CDC7F8A9D}"/>
            </c:ext>
          </c:extLst>
        </c:ser>
        <c:dLbls>
          <c:showLegendKey val="0"/>
          <c:showVal val="0"/>
          <c:showCatName val="0"/>
          <c:showSerName val="0"/>
          <c:showPercent val="0"/>
          <c:showBubbleSize val="0"/>
        </c:dLbls>
        <c:smooth val="0"/>
        <c:axId val="2086673775"/>
        <c:axId val="2086676271"/>
      </c:lineChart>
      <c:catAx>
        <c:axId val="20866737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676271"/>
        <c:crosses val="autoZero"/>
        <c:auto val="1"/>
        <c:lblAlgn val="ctr"/>
        <c:lblOffset val="100"/>
        <c:noMultiLvlLbl val="0"/>
      </c:catAx>
      <c:valAx>
        <c:axId val="20866762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 (million m^3)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673775"/>
        <c:crosses val="autoZero"/>
        <c:crossBetween val="between"/>
      </c:valAx>
      <c:spPr>
        <a:noFill/>
        <a:ln>
          <a:noFill/>
        </a:ln>
        <a:effectLst/>
      </c:spPr>
    </c:plotArea>
    <c:legend>
      <c:legendPos val="b"/>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Demand</a:t>
            </a:r>
            <a:r>
              <a:rPr lang="en-SG" baseline="0"/>
              <a:t> and Supply of </a:t>
            </a:r>
            <a:r>
              <a:rPr lang="en-SG"/>
              <a:t>Potable Water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Potable Demand (Medium Rainfall)</c:v>
          </c:tx>
          <c:spPr>
            <a:ln w="19050" cap="rnd">
              <a:solidFill>
                <a:srgbClr val="C00000"/>
              </a:solidFill>
              <a:round/>
            </a:ln>
            <a:effectLst/>
          </c:spPr>
          <c:marker>
            <c:symbol val="none"/>
          </c:marker>
          <c:cat>
            <c:numRef>
              <c:f>Sensitvity_Rainfall!$B$30:$B$73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Sensitvity_Rainfall!$D$30:$D$73</c:f>
              <c:numCache>
                <c:formatCode>0.00</c:formatCode>
                <c:ptCount val="44"/>
                <c:pt idx="0">
                  <c:v>630.20237905663532</c:v>
                </c:pt>
                <c:pt idx="1">
                  <c:v>627.76963623123629</c:v>
                </c:pt>
                <c:pt idx="2">
                  <c:v>625.13259946811797</c:v>
                </c:pt>
                <c:pt idx="3">
                  <c:v>622.28870788451559</c:v>
                </c:pt>
                <c:pt idx="4">
                  <c:v>619.23537347226454</c:v>
                </c:pt>
                <c:pt idx="5">
                  <c:v>615.9699808334102</c:v>
                </c:pt>
                <c:pt idx="6">
                  <c:v>612.48988691336717</c:v>
                </c:pt>
                <c:pt idx="7">
                  <c:v>608.79242073160299</c:v>
                </c:pt>
                <c:pt idx="8">
                  <c:v>604.87488310982746</c:v>
                </c:pt>
                <c:pt idx="9">
                  <c:v>610.7181804387584</c:v>
                </c:pt>
                <c:pt idx="10">
                  <c:v>616.5795129155789</c:v>
                </c:pt>
                <c:pt idx="11">
                  <c:v>622.45887204582539</c:v>
                </c:pt>
                <c:pt idx="12">
                  <c:v>628.35624816420852</c:v>
                </c:pt>
                <c:pt idx="13">
                  <c:v>634.27163041730716</c:v>
                </c:pt>
                <c:pt idx="14">
                  <c:v>640.2050067460666</c:v>
                </c:pt>
                <c:pt idx="15">
                  <c:v>646.15636386810013</c:v>
                </c:pt>
                <c:pt idx="16">
                  <c:v>652.12568725979156</c:v>
                </c:pt>
                <c:pt idx="17">
                  <c:v>658.11296113819458</c:v>
                </c:pt>
                <c:pt idx="18">
                  <c:v>656.14875042141739</c:v>
                </c:pt>
                <c:pt idx="19">
                  <c:v>662.09959532687901</c:v>
                </c:pt>
                <c:pt idx="20">
                  <c:v>668.06812088540335</c:v>
                </c:pt>
                <c:pt idx="21">
                  <c:v>674.05430634369577</c:v>
                </c:pt>
                <c:pt idx="22">
                  <c:v>680.05812961177742</c:v>
                </c:pt>
                <c:pt idx="23">
                  <c:v>686.07956724386531</c:v>
                </c:pt>
                <c:pt idx="24">
                  <c:v>692.11859441904164</c:v>
                </c:pt>
                <c:pt idx="25">
                  <c:v>698.17518492170393</c:v>
                </c:pt>
                <c:pt idx="26">
                  <c:v>704.24931112180093</c:v>
                </c:pt>
                <c:pt idx="27">
                  <c:v>710.34094395484738</c:v>
                </c:pt>
                <c:pt idx="28">
                  <c:v>716.45005290171503</c:v>
                </c:pt>
                <c:pt idx="29">
                  <c:v>722.57660596820244</c:v>
                </c:pt>
                <c:pt idx="30">
                  <c:v>728.72056966437549</c:v>
                </c:pt>
                <c:pt idx="31">
                  <c:v>734.88190898368146</c:v>
                </c:pt>
                <c:pt idx="32">
                  <c:v>741.0605873818289</c:v>
                </c:pt>
                <c:pt idx="33">
                  <c:v>747.2565667554378</c:v>
                </c:pt>
                <c:pt idx="34">
                  <c:v>753.46980742045241</c:v>
                </c:pt>
                <c:pt idx="35">
                  <c:v>759.70026809031333</c:v>
                </c:pt>
                <c:pt idx="36">
                  <c:v>765.94790585389455</c:v>
                </c:pt>
                <c:pt idx="37">
                  <c:v>772.21267615319277</c:v>
                </c:pt>
                <c:pt idx="38">
                  <c:v>778.49453276077566</c:v>
                </c:pt>
                <c:pt idx="39">
                  <c:v>786.97948187328939</c:v>
                </c:pt>
                <c:pt idx="40">
                  <c:v>795.52891659905833</c:v>
                </c:pt>
                <c:pt idx="41">
                  <c:v>804.1433270287431</c:v>
                </c:pt>
                <c:pt idx="42">
                  <c:v>812.82320697769353</c:v>
                </c:pt>
                <c:pt idx="43">
                  <c:v>821.56905401425593</c:v>
                </c:pt>
              </c:numCache>
            </c:numRef>
          </c:val>
          <c:smooth val="0"/>
          <c:extLst>
            <c:ext xmlns:c16="http://schemas.microsoft.com/office/drawing/2014/chart" uri="{C3380CC4-5D6E-409C-BE32-E72D297353CC}">
              <c16:uniqueId val="{00000000-1F8A-408E-852B-F99BC2748451}"/>
            </c:ext>
          </c:extLst>
        </c:ser>
        <c:ser>
          <c:idx val="1"/>
          <c:order val="1"/>
          <c:tx>
            <c:v>Potable Supply</c:v>
          </c:tx>
          <c:spPr>
            <a:ln w="19050" cap="rnd">
              <a:solidFill>
                <a:schemeClr val="accent2"/>
              </a:solidFill>
              <a:round/>
            </a:ln>
            <a:effectLst/>
          </c:spPr>
          <c:marker>
            <c:symbol val="none"/>
          </c:marker>
          <c:cat>
            <c:numRef>
              <c:f>Sensitvity_Rainfall!$B$30:$B$73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Sensitvity_Rainfall!$L$30:$L$73</c:f>
              <c:numCache>
                <c:formatCode>0.00</c:formatCode>
                <c:ptCount val="44"/>
                <c:pt idx="0">
                  <c:v>999.0968879620001</c:v>
                </c:pt>
                <c:pt idx="1">
                  <c:v>1001.7486849927368</c:v>
                </c:pt>
                <c:pt idx="2">
                  <c:v>1004.4004820234737</c:v>
                </c:pt>
                <c:pt idx="3">
                  <c:v>1007.0522790542104</c:v>
                </c:pt>
                <c:pt idx="4">
                  <c:v>1009.7040760849472</c:v>
                </c:pt>
                <c:pt idx="5">
                  <c:v>1012.3558731156843</c:v>
                </c:pt>
                <c:pt idx="6">
                  <c:v>1015.007670146421</c:v>
                </c:pt>
                <c:pt idx="7">
                  <c:v>1017.6594671771577</c:v>
                </c:pt>
                <c:pt idx="8">
                  <c:v>1020.3112642078946</c:v>
                </c:pt>
                <c:pt idx="9">
                  <c:v>1022.9630612386316</c:v>
                </c:pt>
                <c:pt idx="10">
                  <c:v>1025.6148582693684</c:v>
                </c:pt>
                <c:pt idx="11">
                  <c:v>1028.266655300105</c:v>
                </c:pt>
                <c:pt idx="12">
                  <c:v>1030.9184523308418</c:v>
                </c:pt>
                <c:pt idx="13">
                  <c:v>1033.5702493615786</c:v>
                </c:pt>
                <c:pt idx="14">
                  <c:v>1036.2220463923156</c:v>
                </c:pt>
                <c:pt idx="15">
                  <c:v>1038.8738434230524</c:v>
                </c:pt>
                <c:pt idx="16">
                  <c:v>1041.5256404537893</c:v>
                </c:pt>
                <c:pt idx="17">
                  <c:v>1044.1774374845261</c:v>
                </c:pt>
                <c:pt idx="18">
                  <c:v>640.29513626526273</c:v>
                </c:pt>
                <c:pt idx="19">
                  <c:v>642.94693329599966</c:v>
                </c:pt>
                <c:pt idx="20">
                  <c:v>645.59873032673659</c:v>
                </c:pt>
                <c:pt idx="21">
                  <c:v>648.2505273574734</c:v>
                </c:pt>
                <c:pt idx="22">
                  <c:v>650.90232438821022</c:v>
                </c:pt>
                <c:pt idx="23">
                  <c:v>653.55412141894703</c:v>
                </c:pt>
                <c:pt idx="24">
                  <c:v>656.20591844968385</c:v>
                </c:pt>
                <c:pt idx="25">
                  <c:v>658.85771548042067</c:v>
                </c:pt>
                <c:pt idx="26">
                  <c:v>661.50951251115748</c:v>
                </c:pt>
                <c:pt idx="27">
                  <c:v>664.16130954189418</c:v>
                </c:pt>
                <c:pt idx="28">
                  <c:v>666.81310657263111</c:v>
                </c:pt>
                <c:pt idx="29">
                  <c:v>669.46490360336793</c:v>
                </c:pt>
                <c:pt idx="30">
                  <c:v>672.11670063410475</c:v>
                </c:pt>
                <c:pt idx="31">
                  <c:v>674.76849766484156</c:v>
                </c:pt>
                <c:pt idx="32">
                  <c:v>677.42029469557838</c:v>
                </c:pt>
                <c:pt idx="33">
                  <c:v>680.07209172631519</c:v>
                </c:pt>
                <c:pt idx="34">
                  <c:v>682.72388875705201</c:v>
                </c:pt>
                <c:pt idx="35">
                  <c:v>685.37568578778883</c:v>
                </c:pt>
                <c:pt idx="36">
                  <c:v>688.02748281852564</c:v>
                </c:pt>
                <c:pt idx="37">
                  <c:v>690.67927984926246</c:v>
                </c:pt>
                <c:pt idx="38">
                  <c:v>693.33107688000007</c:v>
                </c:pt>
                <c:pt idx="39">
                  <c:v>693.33107688000007</c:v>
                </c:pt>
                <c:pt idx="40">
                  <c:v>693.33107688000007</c:v>
                </c:pt>
                <c:pt idx="41">
                  <c:v>693.33107688000007</c:v>
                </c:pt>
                <c:pt idx="42">
                  <c:v>693.33107688000007</c:v>
                </c:pt>
                <c:pt idx="43">
                  <c:v>693.33107688000007</c:v>
                </c:pt>
              </c:numCache>
            </c:numRef>
          </c:val>
          <c:smooth val="0"/>
          <c:extLst>
            <c:ext xmlns:c16="http://schemas.microsoft.com/office/drawing/2014/chart" uri="{C3380CC4-5D6E-409C-BE32-E72D297353CC}">
              <c16:uniqueId val="{00000001-1F8A-408E-852B-F99BC2748451}"/>
            </c:ext>
          </c:extLst>
        </c:ser>
        <c:ser>
          <c:idx val="2"/>
          <c:order val="2"/>
          <c:tx>
            <c:v>High Rainfall</c:v>
          </c:tx>
          <c:spPr>
            <a:ln w="19050" cap="rnd">
              <a:solidFill>
                <a:srgbClr val="0070C0"/>
              </a:solidFill>
              <a:prstDash val="sysDot"/>
              <a:round/>
            </a:ln>
            <a:effectLst/>
          </c:spPr>
          <c:marker>
            <c:symbol val="none"/>
          </c:marker>
          <c:cat>
            <c:numRef>
              <c:f>Sensitvity_Rainfall!$B$30:$B$73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Sensitvity_Rainfall!$M$30:$M$73</c:f>
              <c:numCache>
                <c:formatCode>0.00</c:formatCode>
                <c:ptCount val="44"/>
                <c:pt idx="0">
                  <c:v>1043.644923307</c:v>
                </c:pt>
                <c:pt idx="1">
                  <c:v>1046.7230173266842</c:v>
                </c:pt>
                <c:pt idx="2">
                  <c:v>1049.8011113463685</c:v>
                </c:pt>
                <c:pt idx="3">
                  <c:v>1052.8792053660527</c:v>
                </c:pt>
                <c:pt idx="4">
                  <c:v>1055.9572993857369</c:v>
                </c:pt>
                <c:pt idx="5">
                  <c:v>1059.035393405421</c:v>
                </c:pt>
                <c:pt idx="6">
                  <c:v>1062.1134874251052</c:v>
                </c:pt>
                <c:pt idx="7">
                  <c:v>1065.1915814447893</c:v>
                </c:pt>
                <c:pt idx="8">
                  <c:v>1068.2696754644735</c:v>
                </c:pt>
                <c:pt idx="9">
                  <c:v>1071.3477694841577</c:v>
                </c:pt>
                <c:pt idx="10">
                  <c:v>1074.425863503842</c:v>
                </c:pt>
                <c:pt idx="11">
                  <c:v>1077.5039575235262</c:v>
                </c:pt>
                <c:pt idx="12">
                  <c:v>1080.5820515432104</c:v>
                </c:pt>
                <c:pt idx="13">
                  <c:v>1083.6601455628945</c:v>
                </c:pt>
                <c:pt idx="14">
                  <c:v>1086.7382395825787</c:v>
                </c:pt>
                <c:pt idx="15">
                  <c:v>1089.8163336022628</c:v>
                </c:pt>
                <c:pt idx="16">
                  <c:v>1092.894427621947</c:v>
                </c:pt>
                <c:pt idx="17">
                  <c:v>1095.9725216416314</c:v>
                </c:pt>
                <c:pt idx="18">
                  <c:v>692.51651741131536</c:v>
                </c:pt>
                <c:pt idx="19">
                  <c:v>695.59461143099975</c:v>
                </c:pt>
                <c:pt idx="20">
                  <c:v>698.67270545068391</c:v>
                </c:pt>
                <c:pt idx="21">
                  <c:v>701.75079947036807</c:v>
                </c:pt>
                <c:pt idx="22">
                  <c:v>704.82889349005222</c:v>
                </c:pt>
                <c:pt idx="23">
                  <c:v>707.90698750973638</c:v>
                </c:pt>
                <c:pt idx="24">
                  <c:v>710.98508152942054</c:v>
                </c:pt>
                <c:pt idx="25">
                  <c:v>714.06317554910481</c:v>
                </c:pt>
                <c:pt idx="26">
                  <c:v>717.14126956878897</c:v>
                </c:pt>
                <c:pt idx="27">
                  <c:v>720.21936358847313</c:v>
                </c:pt>
                <c:pt idx="28">
                  <c:v>723.29745760815729</c:v>
                </c:pt>
                <c:pt idx="29">
                  <c:v>726.37555162784156</c:v>
                </c:pt>
                <c:pt idx="30">
                  <c:v>729.45364564752572</c:v>
                </c:pt>
                <c:pt idx="31">
                  <c:v>732.53173966720988</c:v>
                </c:pt>
                <c:pt idx="32">
                  <c:v>735.60983368689415</c:v>
                </c:pt>
                <c:pt idx="33">
                  <c:v>738.68792770657819</c:v>
                </c:pt>
                <c:pt idx="34">
                  <c:v>741.76602172626235</c:v>
                </c:pt>
                <c:pt idx="35">
                  <c:v>744.84411574594674</c:v>
                </c:pt>
                <c:pt idx="36">
                  <c:v>747.92220976563067</c:v>
                </c:pt>
                <c:pt idx="37">
                  <c:v>751.00030378531505</c:v>
                </c:pt>
                <c:pt idx="38">
                  <c:v>754.07839780500012</c:v>
                </c:pt>
                <c:pt idx="39">
                  <c:v>754.07839780500012</c:v>
                </c:pt>
                <c:pt idx="40">
                  <c:v>754.07839780500012</c:v>
                </c:pt>
                <c:pt idx="41">
                  <c:v>754.07839780500012</c:v>
                </c:pt>
                <c:pt idx="42">
                  <c:v>754.07839780500012</c:v>
                </c:pt>
                <c:pt idx="43">
                  <c:v>754.07839780500012</c:v>
                </c:pt>
              </c:numCache>
            </c:numRef>
          </c:val>
          <c:smooth val="0"/>
          <c:extLst>
            <c:ext xmlns:c16="http://schemas.microsoft.com/office/drawing/2014/chart" uri="{C3380CC4-5D6E-409C-BE32-E72D297353CC}">
              <c16:uniqueId val="{00000000-1E3D-4A33-87F5-0AB5AE9E77D1}"/>
            </c:ext>
          </c:extLst>
        </c:ser>
        <c:ser>
          <c:idx val="3"/>
          <c:order val="3"/>
          <c:tx>
            <c:v>Low Rainfall</c:v>
          </c:tx>
          <c:spPr>
            <a:ln w="19050" cap="rnd">
              <a:solidFill>
                <a:srgbClr val="0070C0"/>
              </a:solidFill>
              <a:prstDash val="sysDot"/>
              <a:round/>
            </a:ln>
            <a:effectLst/>
          </c:spPr>
          <c:marker>
            <c:symbol val="none"/>
          </c:marker>
          <c:cat>
            <c:numRef>
              <c:f>Sensitvity_Rainfall!$B$30:$B$73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Sensitvity_Rainfall!$K$30:$K$73</c:f>
              <c:numCache>
                <c:formatCode>0.00</c:formatCode>
                <c:ptCount val="44"/>
                <c:pt idx="0">
                  <c:v>966.52133990200014</c:v>
                </c:pt>
                <c:pt idx="1">
                  <c:v>968.8614092001053</c:v>
                </c:pt>
                <c:pt idx="2">
                  <c:v>971.20147849821058</c:v>
                </c:pt>
                <c:pt idx="3">
                  <c:v>973.54154779631574</c:v>
                </c:pt>
                <c:pt idx="4">
                  <c:v>975.88161709442102</c:v>
                </c:pt>
                <c:pt idx="5">
                  <c:v>978.22168639252641</c:v>
                </c:pt>
                <c:pt idx="6">
                  <c:v>980.56175569063157</c:v>
                </c:pt>
                <c:pt idx="7">
                  <c:v>982.90182498873673</c:v>
                </c:pt>
                <c:pt idx="8">
                  <c:v>985.24189428684201</c:v>
                </c:pt>
                <c:pt idx="9">
                  <c:v>987.58196358494729</c:v>
                </c:pt>
                <c:pt idx="10">
                  <c:v>989.92203288305257</c:v>
                </c:pt>
                <c:pt idx="11">
                  <c:v>992.26210218115784</c:v>
                </c:pt>
                <c:pt idx="12">
                  <c:v>994.60217147926301</c:v>
                </c:pt>
                <c:pt idx="13">
                  <c:v>996.94224077736817</c:v>
                </c:pt>
                <c:pt idx="14">
                  <c:v>999.28231007547356</c:v>
                </c:pt>
                <c:pt idx="15">
                  <c:v>1001.6223793735787</c:v>
                </c:pt>
                <c:pt idx="16">
                  <c:v>1003.9624486716839</c:v>
                </c:pt>
                <c:pt idx="17">
                  <c:v>1006.3025179697893</c:v>
                </c:pt>
                <c:pt idx="18">
                  <c:v>602.1084890178945</c:v>
                </c:pt>
                <c:pt idx="19">
                  <c:v>604.44855831599978</c:v>
                </c:pt>
                <c:pt idx="20">
                  <c:v>606.78862761410505</c:v>
                </c:pt>
                <c:pt idx="21">
                  <c:v>609.12869691221022</c:v>
                </c:pt>
                <c:pt idx="22">
                  <c:v>611.46876621031538</c:v>
                </c:pt>
                <c:pt idx="23">
                  <c:v>613.80883550842077</c:v>
                </c:pt>
                <c:pt idx="24">
                  <c:v>616.14890480652605</c:v>
                </c:pt>
                <c:pt idx="25">
                  <c:v>618.48897410463121</c:v>
                </c:pt>
                <c:pt idx="26">
                  <c:v>620.82904340273649</c:v>
                </c:pt>
                <c:pt idx="27">
                  <c:v>623.16911270084165</c:v>
                </c:pt>
                <c:pt idx="28">
                  <c:v>625.50918199894693</c:v>
                </c:pt>
                <c:pt idx="29">
                  <c:v>627.84925129705221</c:v>
                </c:pt>
                <c:pt idx="30">
                  <c:v>630.18932059515737</c:v>
                </c:pt>
                <c:pt idx="31">
                  <c:v>632.52938989326276</c:v>
                </c:pt>
                <c:pt idx="32">
                  <c:v>634.86945919136792</c:v>
                </c:pt>
                <c:pt idx="33">
                  <c:v>637.20952848947309</c:v>
                </c:pt>
                <c:pt idx="34">
                  <c:v>639.54959778757836</c:v>
                </c:pt>
                <c:pt idx="35">
                  <c:v>641.88966708568364</c:v>
                </c:pt>
                <c:pt idx="36">
                  <c:v>644.22973638378892</c:v>
                </c:pt>
                <c:pt idx="37">
                  <c:v>646.5698056818942</c:v>
                </c:pt>
                <c:pt idx="38">
                  <c:v>648.90987498000004</c:v>
                </c:pt>
                <c:pt idx="39">
                  <c:v>648.90987498000004</c:v>
                </c:pt>
                <c:pt idx="40">
                  <c:v>648.90987498000004</c:v>
                </c:pt>
                <c:pt idx="41">
                  <c:v>648.90987498000004</c:v>
                </c:pt>
                <c:pt idx="42">
                  <c:v>648.90987498000004</c:v>
                </c:pt>
                <c:pt idx="43">
                  <c:v>648.90987498000004</c:v>
                </c:pt>
              </c:numCache>
            </c:numRef>
          </c:val>
          <c:smooth val="0"/>
          <c:extLst>
            <c:ext xmlns:c16="http://schemas.microsoft.com/office/drawing/2014/chart" uri="{C3380CC4-5D6E-409C-BE32-E72D297353CC}">
              <c16:uniqueId val="{00000001-1E3D-4A33-87F5-0AB5AE9E77D1}"/>
            </c:ext>
          </c:extLst>
        </c:ser>
        <c:dLbls>
          <c:showLegendKey val="0"/>
          <c:showVal val="0"/>
          <c:showCatName val="0"/>
          <c:showSerName val="0"/>
          <c:showPercent val="0"/>
          <c:showBubbleSize val="0"/>
        </c:dLbls>
        <c:smooth val="0"/>
        <c:axId val="2086673775"/>
        <c:axId val="2086676271"/>
      </c:lineChart>
      <c:catAx>
        <c:axId val="20866737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676271"/>
        <c:crosses val="autoZero"/>
        <c:auto val="1"/>
        <c:lblAlgn val="ctr"/>
        <c:lblOffset val="100"/>
        <c:noMultiLvlLbl val="0"/>
      </c:catAx>
      <c:valAx>
        <c:axId val="20866762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 (million m^3)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673775"/>
        <c:crosses val="autoZero"/>
        <c:crossBetween val="between"/>
      </c:valAx>
      <c:spPr>
        <a:noFill/>
        <a:ln>
          <a:noFill/>
        </a:ln>
        <a:effectLst/>
      </c:spPr>
    </c:plotArea>
    <c:legend>
      <c:legendPos val="b"/>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Demand</a:t>
            </a:r>
            <a:r>
              <a:rPr lang="en-SG" baseline="0"/>
              <a:t> and Supply of Non-</a:t>
            </a:r>
            <a:r>
              <a:rPr lang="en-SG"/>
              <a:t>Potable Water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Non-Potable Demand</c:v>
          </c:tx>
          <c:spPr>
            <a:ln w="28575" cap="rnd">
              <a:solidFill>
                <a:srgbClr val="C00000"/>
              </a:solidFill>
              <a:round/>
            </a:ln>
            <a:effectLst/>
          </c:spPr>
          <c:marker>
            <c:symbol val="none"/>
          </c:marker>
          <c:cat>
            <c:numRef>
              <c:f>Sensitvity_Rainfall!$B$30:$B$73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Sensitvity_Rainfall!$E$30:$E$73</c:f>
              <c:numCache>
                <c:formatCode>0.00</c:formatCode>
                <c:ptCount val="44"/>
                <c:pt idx="0">
                  <c:v>123.56712497714443</c:v>
                </c:pt>
                <c:pt idx="1">
                  <c:v>129.67819605592661</c:v>
                </c:pt>
                <c:pt idx="2">
                  <c:v>135.82591504601783</c:v>
                </c:pt>
                <c:pt idx="3">
                  <c:v>142.00547445989037</c:v>
                </c:pt>
                <c:pt idx="4">
                  <c:v>148.21177262103936</c:v>
                </c:pt>
                <c:pt idx="5">
                  <c:v>154.43939712615236</c:v>
                </c:pt>
                <c:pt idx="6">
                  <c:v>160.68260725182074</c:v>
                </c:pt>
                <c:pt idx="7">
                  <c:v>166.93531522734145</c:v>
                </c:pt>
                <c:pt idx="8">
                  <c:v>173.19106628841473</c:v>
                </c:pt>
                <c:pt idx="9">
                  <c:v>182.42518887558742</c:v>
                </c:pt>
                <c:pt idx="10">
                  <c:v>191.9767192077461</c:v>
                </c:pt>
                <c:pt idx="11">
                  <c:v>201.85670588242306</c:v>
                </c:pt>
                <c:pt idx="12">
                  <c:v>212.07669134218679</c:v>
                </c:pt>
                <c:pt idx="13">
                  <c:v>222.64873975686032</c:v>
                </c:pt>
                <c:pt idx="14">
                  <c:v>233.58546681963708</c:v>
                </c:pt>
                <c:pt idx="15">
                  <c:v>244.90007161221592</c:v>
                </c:pt>
                <c:pt idx="16">
                  <c:v>256.60637070860889</c:v>
                </c:pt>
                <c:pt idx="17">
                  <c:v>268.71883470337229</c:v>
                </c:pt>
                <c:pt idx="18">
                  <c:v>277.87759583941045</c:v>
                </c:pt>
                <c:pt idx="19">
                  <c:v>290.6929638857099</c:v>
                </c:pt>
                <c:pt idx="20">
                  <c:v>303.95679191905072</c:v>
                </c:pt>
                <c:pt idx="21">
                  <c:v>317.68637784662019</c:v>
                </c:pt>
                <c:pt idx="22">
                  <c:v>331.89988989781341</c:v>
                </c:pt>
                <c:pt idx="23">
                  <c:v>346.61642207509772</c:v>
                </c:pt>
                <c:pt idx="24">
                  <c:v>361.85605390423802</c:v>
                </c:pt>
                <c:pt idx="25">
                  <c:v>377.63991487799501</c:v>
                </c:pt>
                <c:pt idx="26">
                  <c:v>393.99025402923644</c:v>
                </c:pt>
                <c:pt idx="27">
                  <c:v>410.93051511631757</c:v>
                </c:pt>
                <c:pt idx="28">
                  <c:v>428.48541795622418</c:v>
                </c:pt>
                <c:pt idx="29">
                  <c:v>446.68104650019473</c:v>
                </c:pt>
                <c:pt idx="30">
                  <c:v>465.54494431319085</c:v>
                </c:pt>
                <c:pt idx="31">
                  <c:v>485.10621819379844</c:v>
                </c:pt>
                <c:pt idx="32">
                  <c:v>505.39565075609312</c:v>
                </c:pt>
                <c:pt idx="33">
                  <c:v>526.44582289114078</c:v>
                </c:pt>
                <c:pt idx="34">
                  <c:v>548.29124713480235</c:v>
                </c:pt>
                <c:pt idx="35">
                  <c:v>570.96851309227486</c:v>
                </c:pt>
                <c:pt idx="36">
                  <c:v>594.51644621060427</c:v>
                </c:pt>
                <c:pt idx="37">
                  <c:v>618.97628135092759</c:v>
                </c:pt>
                <c:pt idx="38">
                  <c:v>644.39185279548656</c:v>
                </c:pt>
                <c:pt idx="39">
                  <c:v>651.41519316513359</c:v>
                </c:pt>
                <c:pt idx="40">
                  <c:v>658.49191092158969</c:v>
                </c:pt>
                <c:pt idx="41">
                  <c:v>665.62241173299526</c:v>
                </c:pt>
                <c:pt idx="42">
                  <c:v>672.80710435056722</c:v>
                </c:pt>
                <c:pt idx="43">
                  <c:v>680.04640063203294</c:v>
                </c:pt>
              </c:numCache>
            </c:numRef>
          </c:val>
          <c:smooth val="0"/>
          <c:extLst>
            <c:ext xmlns:c16="http://schemas.microsoft.com/office/drawing/2014/chart" uri="{C3380CC4-5D6E-409C-BE32-E72D297353CC}">
              <c16:uniqueId val="{00000000-BD13-4051-B905-45D444E3EBEA}"/>
            </c:ext>
          </c:extLst>
        </c:ser>
        <c:ser>
          <c:idx val="1"/>
          <c:order val="1"/>
          <c:tx>
            <c:v>Non-Potable Supply</c:v>
          </c:tx>
          <c:spPr>
            <a:ln w="28575" cap="rnd">
              <a:solidFill>
                <a:schemeClr val="accent2"/>
              </a:solidFill>
              <a:round/>
            </a:ln>
            <a:effectLst/>
          </c:spPr>
          <c:marker>
            <c:symbol val="none"/>
          </c:marker>
          <c:cat>
            <c:numRef>
              <c:f>Sensitvity_Rainfall!$B$30:$B$73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Sensitvity_Rainfall!$N$30:$N$73</c:f>
              <c:numCache>
                <c:formatCode>0.00</c:formatCode>
                <c:ptCount val="44"/>
                <c:pt idx="0">
                  <c:v>247.39999999999998</c:v>
                </c:pt>
                <c:pt idx="1">
                  <c:v>247.39999999999998</c:v>
                </c:pt>
                <c:pt idx="2">
                  <c:v>247.39999999999998</c:v>
                </c:pt>
                <c:pt idx="3">
                  <c:v>247.39999999999998</c:v>
                </c:pt>
                <c:pt idx="4">
                  <c:v>247.39999999999998</c:v>
                </c:pt>
                <c:pt idx="5">
                  <c:v>247.39999999999998</c:v>
                </c:pt>
                <c:pt idx="6">
                  <c:v>247.39999999999998</c:v>
                </c:pt>
                <c:pt idx="7">
                  <c:v>247.39999999999998</c:v>
                </c:pt>
                <c:pt idx="8">
                  <c:v>247.39999999999998</c:v>
                </c:pt>
                <c:pt idx="9">
                  <c:v>247.39999999999998</c:v>
                </c:pt>
                <c:pt idx="10">
                  <c:v>247.39999999999998</c:v>
                </c:pt>
                <c:pt idx="11">
                  <c:v>247.39999999999998</c:v>
                </c:pt>
                <c:pt idx="12">
                  <c:v>247.39999999999998</c:v>
                </c:pt>
                <c:pt idx="13">
                  <c:v>247.39999999999998</c:v>
                </c:pt>
                <c:pt idx="14">
                  <c:v>247.39999999999998</c:v>
                </c:pt>
                <c:pt idx="15">
                  <c:v>247.39999999999998</c:v>
                </c:pt>
                <c:pt idx="16">
                  <c:v>247.39999999999998</c:v>
                </c:pt>
                <c:pt idx="17">
                  <c:v>247.39999999999998</c:v>
                </c:pt>
                <c:pt idx="18">
                  <c:v>247.39999999999998</c:v>
                </c:pt>
                <c:pt idx="19">
                  <c:v>247.39999999999998</c:v>
                </c:pt>
                <c:pt idx="20">
                  <c:v>247.39999999999998</c:v>
                </c:pt>
                <c:pt idx="21">
                  <c:v>247.39999999999998</c:v>
                </c:pt>
                <c:pt idx="22">
                  <c:v>247.39999999999998</c:v>
                </c:pt>
                <c:pt idx="23">
                  <c:v>247.39999999999998</c:v>
                </c:pt>
                <c:pt idx="24">
                  <c:v>247.39999999999998</c:v>
                </c:pt>
                <c:pt idx="25">
                  <c:v>247.39999999999998</c:v>
                </c:pt>
                <c:pt idx="26">
                  <c:v>247.39999999999998</c:v>
                </c:pt>
                <c:pt idx="27">
                  <c:v>247.39999999999998</c:v>
                </c:pt>
                <c:pt idx="28">
                  <c:v>247.39999999999998</c:v>
                </c:pt>
                <c:pt idx="29">
                  <c:v>247.39999999999998</c:v>
                </c:pt>
                <c:pt idx="30">
                  <c:v>247.39999999999998</c:v>
                </c:pt>
                <c:pt idx="31">
                  <c:v>247.39999999999998</c:v>
                </c:pt>
                <c:pt idx="32">
                  <c:v>247.39999999999998</c:v>
                </c:pt>
                <c:pt idx="33">
                  <c:v>247.39999999999998</c:v>
                </c:pt>
                <c:pt idx="34">
                  <c:v>247.39999999999998</c:v>
                </c:pt>
                <c:pt idx="35">
                  <c:v>247.39999999999998</c:v>
                </c:pt>
                <c:pt idx="36">
                  <c:v>247.39999999999998</c:v>
                </c:pt>
                <c:pt idx="37">
                  <c:v>247.39999999999998</c:v>
                </c:pt>
                <c:pt idx="38">
                  <c:v>247.39999999999998</c:v>
                </c:pt>
                <c:pt idx="39">
                  <c:v>247.39999999999998</c:v>
                </c:pt>
                <c:pt idx="40">
                  <c:v>247.39999999999998</c:v>
                </c:pt>
                <c:pt idx="41">
                  <c:v>247.39999999999998</c:v>
                </c:pt>
                <c:pt idx="42">
                  <c:v>247.39999999999998</c:v>
                </c:pt>
                <c:pt idx="43">
                  <c:v>247.39999999999998</c:v>
                </c:pt>
              </c:numCache>
            </c:numRef>
          </c:val>
          <c:smooth val="0"/>
          <c:extLst>
            <c:ext xmlns:c16="http://schemas.microsoft.com/office/drawing/2014/chart" uri="{C3380CC4-5D6E-409C-BE32-E72D297353CC}">
              <c16:uniqueId val="{00000001-BD13-4051-B905-45D444E3EBEA}"/>
            </c:ext>
          </c:extLst>
        </c:ser>
        <c:dLbls>
          <c:showLegendKey val="0"/>
          <c:showVal val="0"/>
          <c:showCatName val="0"/>
          <c:showSerName val="0"/>
          <c:showPercent val="0"/>
          <c:showBubbleSize val="0"/>
        </c:dLbls>
        <c:smooth val="0"/>
        <c:axId val="2086673775"/>
        <c:axId val="2086676271"/>
      </c:lineChart>
      <c:catAx>
        <c:axId val="20866737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676271"/>
        <c:crosses val="autoZero"/>
        <c:auto val="1"/>
        <c:lblAlgn val="ctr"/>
        <c:lblOffset val="100"/>
        <c:noMultiLvlLbl val="0"/>
      </c:catAx>
      <c:valAx>
        <c:axId val="20866762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 (million m^3)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6737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sz="1300"/>
              <a:t>Demand</a:t>
            </a:r>
            <a:r>
              <a:rPr lang="en-SG" sz="1300" baseline="0"/>
              <a:t> and Supply of </a:t>
            </a:r>
            <a:r>
              <a:rPr lang="en-SG" sz="1300"/>
              <a:t>Potable Water (0-12% Price</a:t>
            </a:r>
            <a:r>
              <a:rPr lang="en-SG" sz="1300" baseline="0"/>
              <a:t> Hike)</a:t>
            </a:r>
            <a:r>
              <a:rPr lang="en-SG" sz="1300"/>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Potable Demand (3%)</c:v>
          </c:tx>
          <c:spPr>
            <a:ln w="19050" cap="rnd">
              <a:solidFill>
                <a:srgbClr val="C00000"/>
              </a:solidFill>
              <a:prstDash val="solid"/>
              <a:round/>
            </a:ln>
            <a:effectLst/>
          </c:spPr>
          <c:marker>
            <c:symbol val="none"/>
          </c:marker>
          <c:cat>
            <c:numRef>
              <c:f>Tradeoff_Price!$B$30:$B$73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Tradeoff_Price!$F$30:$F$73</c:f>
              <c:numCache>
                <c:formatCode>0.00</c:formatCode>
                <c:ptCount val="44"/>
                <c:pt idx="0">
                  <c:v>630.20237905663532</c:v>
                </c:pt>
                <c:pt idx="1">
                  <c:v>627.76963623123618</c:v>
                </c:pt>
                <c:pt idx="2">
                  <c:v>625.13259946811775</c:v>
                </c:pt>
                <c:pt idx="3">
                  <c:v>622.28870788451525</c:v>
                </c:pt>
                <c:pt idx="4">
                  <c:v>619.23537347226409</c:v>
                </c:pt>
                <c:pt idx="5">
                  <c:v>615.96998083340975</c:v>
                </c:pt>
                <c:pt idx="6">
                  <c:v>612.48988691336649</c:v>
                </c:pt>
                <c:pt idx="7">
                  <c:v>608.79242073160242</c:v>
                </c:pt>
                <c:pt idx="8">
                  <c:v>604.87488310982735</c:v>
                </c:pt>
                <c:pt idx="9">
                  <c:v>610.7181804387584</c:v>
                </c:pt>
                <c:pt idx="10">
                  <c:v>616.57951291557879</c:v>
                </c:pt>
                <c:pt idx="11">
                  <c:v>622.45887204582516</c:v>
                </c:pt>
                <c:pt idx="12">
                  <c:v>628.35624816420841</c:v>
                </c:pt>
                <c:pt idx="13">
                  <c:v>634.27163041730705</c:v>
                </c:pt>
                <c:pt idx="14">
                  <c:v>640.20500674606637</c:v>
                </c:pt>
                <c:pt idx="15">
                  <c:v>646.15636386810013</c:v>
                </c:pt>
                <c:pt idx="16">
                  <c:v>652.12568725979133</c:v>
                </c:pt>
                <c:pt idx="17">
                  <c:v>658.11296113819435</c:v>
                </c:pt>
                <c:pt idx="18">
                  <c:v>656.14875042141739</c:v>
                </c:pt>
                <c:pt idx="19">
                  <c:v>662.09959532687878</c:v>
                </c:pt>
                <c:pt idx="20">
                  <c:v>668.06812088540312</c:v>
                </c:pt>
                <c:pt idx="21">
                  <c:v>674.05430634369566</c:v>
                </c:pt>
                <c:pt idx="22">
                  <c:v>680.05812961177708</c:v>
                </c:pt>
                <c:pt idx="23">
                  <c:v>686.07956724386531</c:v>
                </c:pt>
                <c:pt idx="24">
                  <c:v>692.11859441904141</c:v>
                </c:pt>
                <c:pt idx="25">
                  <c:v>698.17518492170359</c:v>
                </c:pt>
                <c:pt idx="26">
                  <c:v>704.24931112180082</c:v>
                </c:pt>
                <c:pt idx="27">
                  <c:v>710.34094395484726</c:v>
                </c:pt>
                <c:pt idx="28">
                  <c:v>716.45005290171491</c:v>
                </c:pt>
                <c:pt idx="29">
                  <c:v>722.57660596820222</c:v>
                </c:pt>
                <c:pt idx="30">
                  <c:v>728.72056966437538</c:v>
                </c:pt>
                <c:pt idx="31">
                  <c:v>734.88190898368123</c:v>
                </c:pt>
                <c:pt idx="32">
                  <c:v>741.06058738182855</c:v>
                </c:pt>
                <c:pt idx="33">
                  <c:v>747.2565667554378</c:v>
                </c:pt>
                <c:pt idx="34">
                  <c:v>753.46980742045218</c:v>
                </c:pt>
                <c:pt idx="35">
                  <c:v>759.70026809031299</c:v>
                </c:pt>
                <c:pt idx="36">
                  <c:v>765.94790585389444</c:v>
                </c:pt>
                <c:pt idx="37">
                  <c:v>772.21267615319232</c:v>
                </c:pt>
                <c:pt idx="38">
                  <c:v>778.49453276077566</c:v>
                </c:pt>
                <c:pt idx="39">
                  <c:v>786.97948187328939</c:v>
                </c:pt>
                <c:pt idx="40">
                  <c:v>795.52891659905833</c:v>
                </c:pt>
                <c:pt idx="41">
                  <c:v>804.1433270287431</c:v>
                </c:pt>
                <c:pt idx="42">
                  <c:v>812.82320697769353</c:v>
                </c:pt>
                <c:pt idx="43">
                  <c:v>821.56905401425593</c:v>
                </c:pt>
              </c:numCache>
            </c:numRef>
          </c:val>
          <c:smooth val="0"/>
          <c:extLst>
            <c:ext xmlns:c16="http://schemas.microsoft.com/office/drawing/2014/chart" uri="{C3380CC4-5D6E-409C-BE32-E72D297353CC}">
              <c16:uniqueId val="{00000000-BFAA-4CAB-9213-157FC0B873DF}"/>
            </c:ext>
          </c:extLst>
        </c:ser>
        <c:ser>
          <c:idx val="1"/>
          <c:order val="1"/>
          <c:tx>
            <c:v>Potable Supply</c:v>
          </c:tx>
          <c:spPr>
            <a:ln w="19050" cap="rnd">
              <a:solidFill>
                <a:schemeClr val="accent2"/>
              </a:solidFill>
              <a:round/>
            </a:ln>
            <a:effectLst/>
          </c:spPr>
          <c:marker>
            <c:symbol val="none"/>
          </c:marker>
          <c:cat>
            <c:numRef>
              <c:f>Tradeoff_Price!$B$30:$B$73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Tradeoff_Price!$Q$30:$Q$73</c:f>
              <c:numCache>
                <c:formatCode>0.00</c:formatCode>
                <c:ptCount val="44"/>
                <c:pt idx="0">
                  <c:v>999.0968879620001</c:v>
                </c:pt>
                <c:pt idx="1">
                  <c:v>1001.7486849927368</c:v>
                </c:pt>
                <c:pt idx="2">
                  <c:v>1004.4004820234737</c:v>
                </c:pt>
                <c:pt idx="3">
                  <c:v>1007.0522790542104</c:v>
                </c:pt>
                <c:pt idx="4">
                  <c:v>1009.7040760849472</c:v>
                </c:pt>
                <c:pt idx="5">
                  <c:v>1012.3558731156843</c:v>
                </c:pt>
                <c:pt idx="6">
                  <c:v>1015.007670146421</c:v>
                </c:pt>
                <c:pt idx="7">
                  <c:v>1017.6594671771577</c:v>
                </c:pt>
                <c:pt idx="8">
                  <c:v>1020.3112642078946</c:v>
                </c:pt>
                <c:pt idx="9">
                  <c:v>1022.9630612386316</c:v>
                </c:pt>
                <c:pt idx="10">
                  <c:v>1025.6148582693684</c:v>
                </c:pt>
                <c:pt idx="11">
                  <c:v>1028.266655300105</c:v>
                </c:pt>
                <c:pt idx="12">
                  <c:v>1030.9184523308418</c:v>
                </c:pt>
                <c:pt idx="13">
                  <c:v>1033.5702493615786</c:v>
                </c:pt>
                <c:pt idx="14">
                  <c:v>1036.2220463923156</c:v>
                </c:pt>
                <c:pt idx="15">
                  <c:v>1038.8738434230524</c:v>
                </c:pt>
                <c:pt idx="16">
                  <c:v>1041.5256404537893</c:v>
                </c:pt>
                <c:pt idx="17">
                  <c:v>1044.1774374845261</c:v>
                </c:pt>
                <c:pt idx="18">
                  <c:v>640.29513626526273</c:v>
                </c:pt>
                <c:pt idx="19">
                  <c:v>642.94693329599966</c:v>
                </c:pt>
                <c:pt idx="20">
                  <c:v>645.59873032673659</c:v>
                </c:pt>
                <c:pt idx="21">
                  <c:v>648.2505273574734</c:v>
                </c:pt>
                <c:pt idx="22">
                  <c:v>650.90232438821022</c:v>
                </c:pt>
                <c:pt idx="23">
                  <c:v>653.55412141894703</c:v>
                </c:pt>
                <c:pt idx="24">
                  <c:v>656.20591844968385</c:v>
                </c:pt>
                <c:pt idx="25">
                  <c:v>658.85771548042067</c:v>
                </c:pt>
                <c:pt idx="26">
                  <c:v>661.50951251115748</c:v>
                </c:pt>
                <c:pt idx="27">
                  <c:v>664.16130954189418</c:v>
                </c:pt>
                <c:pt idx="28">
                  <c:v>666.81310657263111</c:v>
                </c:pt>
                <c:pt idx="29">
                  <c:v>669.46490360336793</c:v>
                </c:pt>
                <c:pt idx="30">
                  <c:v>672.11670063410475</c:v>
                </c:pt>
                <c:pt idx="31">
                  <c:v>674.76849766484156</c:v>
                </c:pt>
                <c:pt idx="32">
                  <c:v>677.42029469557838</c:v>
                </c:pt>
                <c:pt idx="33">
                  <c:v>680.07209172631519</c:v>
                </c:pt>
                <c:pt idx="34">
                  <c:v>682.72388875705201</c:v>
                </c:pt>
                <c:pt idx="35">
                  <c:v>685.37568578778883</c:v>
                </c:pt>
                <c:pt idx="36">
                  <c:v>688.02748281852564</c:v>
                </c:pt>
                <c:pt idx="37">
                  <c:v>690.67927984926246</c:v>
                </c:pt>
                <c:pt idx="38">
                  <c:v>693.33107688000007</c:v>
                </c:pt>
                <c:pt idx="39">
                  <c:v>693.33107688000007</c:v>
                </c:pt>
                <c:pt idx="40">
                  <c:v>693.33107688000007</c:v>
                </c:pt>
                <c:pt idx="41">
                  <c:v>693.33107688000007</c:v>
                </c:pt>
                <c:pt idx="42">
                  <c:v>693.33107688000007</c:v>
                </c:pt>
                <c:pt idx="43">
                  <c:v>693.33107688000007</c:v>
                </c:pt>
              </c:numCache>
            </c:numRef>
          </c:val>
          <c:smooth val="0"/>
          <c:extLst>
            <c:ext xmlns:c16="http://schemas.microsoft.com/office/drawing/2014/chart" uri="{C3380CC4-5D6E-409C-BE32-E72D297353CC}">
              <c16:uniqueId val="{00000001-BFAA-4CAB-9213-157FC0B873DF}"/>
            </c:ext>
          </c:extLst>
        </c:ser>
        <c:ser>
          <c:idx val="2"/>
          <c:order val="2"/>
          <c:tx>
            <c:v>0%</c:v>
          </c:tx>
          <c:spPr>
            <a:ln w="19050" cap="rnd">
              <a:solidFill>
                <a:srgbClr val="C00000"/>
              </a:solidFill>
              <a:prstDash val="sysDot"/>
              <a:round/>
            </a:ln>
            <a:effectLst/>
          </c:spPr>
          <c:marker>
            <c:symbol val="none"/>
          </c:marker>
          <c:cat>
            <c:numRef>
              <c:f>Tradeoff_Price!$B$30:$B$73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Tradeoff_Price!$D$30:$D$73</c:f>
              <c:numCache>
                <c:formatCode>0.00</c:formatCode>
                <c:ptCount val="44"/>
                <c:pt idx="0">
                  <c:v>630.20237905663532</c:v>
                </c:pt>
                <c:pt idx="1">
                  <c:v>627.76963623123618</c:v>
                </c:pt>
                <c:pt idx="2">
                  <c:v>625.13259946811775</c:v>
                </c:pt>
                <c:pt idx="3">
                  <c:v>622.28870788451525</c:v>
                </c:pt>
                <c:pt idx="4">
                  <c:v>619.23537347226409</c:v>
                </c:pt>
                <c:pt idx="5">
                  <c:v>615.96998083340975</c:v>
                </c:pt>
                <c:pt idx="6">
                  <c:v>612.48988691336649</c:v>
                </c:pt>
                <c:pt idx="7">
                  <c:v>608.79242073160242</c:v>
                </c:pt>
                <c:pt idx="8">
                  <c:v>604.87488310982735</c:v>
                </c:pt>
                <c:pt idx="9">
                  <c:v>610.7181804387584</c:v>
                </c:pt>
                <c:pt idx="10">
                  <c:v>616.57951291557879</c:v>
                </c:pt>
                <c:pt idx="11">
                  <c:v>622.45887204582516</c:v>
                </c:pt>
                <c:pt idx="12">
                  <c:v>628.35624816420841</c:v>
                </c:pt>
                <c:pt idx="13">
                  <c:v>634.27163041730705</c:v>
                </c:pt>
                <c:pt idx="14">
                  <c:v>640.20500674606637</c:v>
                </c:pt>
                <c:pt idx="15">
                  <c:v>646.15636386810013</c:v>
                </c:pt>
                <c:pt idx="16">
                  <c:v>652.12568725979133</c:v>
                </c:pt>
                <c:pt idx="17">
                  <c:v>658.11296113819435</c:v>
                </c:pt>
                <c:pt idx="18">
                  <c:v>664.11816844272994</c:v>
                </c:pt>
                <c:pt idx="19">
                  <c:v>670.14129081667909</c:v>
                </c:pt>
                <c:pt idx="20">
                  <c:v>676.18230858846471</c:v>
                </c:pt>
                <c:pt idx="21">
                  <c:v>682.24120075272833</c:v>
                </c:pt>
                <c:pt idx="22">
                  <c:v>688.31794495119141</c:v>
                </c:pt>
                <c:pt idx="23">
                  <c:v>694.41251745330499</c:v>
                </c:pt>
                <c:pt idx="24">
                  <c:v>700.5248931366815</c:v>
                </c:pt>
                <c:pt idx="25">
                  <c:v>706.65504546731142</c:v>
                </c:pt>
                <c:pt idx="26">
                  <c:v>712.80294647955554</c:v>
                </c:pt>
                <c:pt idx="27">
                  <c:v>718.96856675591823</c:v>
                </c:pt>
                <c:pt idx="28">
                  <c:v>725.15187540659383</c:v>
                </c:pt>
                <c:pt idx="29">
                  <c:v>731.35284004878758</c:v>
                </c:pt>
                <c:pt idx="30">
                  <c:v>737.57142678580487</c:v>
                </c:pt>
                <c:pt idx="31">
                  <c:v>743.80760018591207</c:v>
                </c:pt>
                <c:pt idx="32">
                  <c:v>750.06132326095997</c:v>
                </c:pt>
                <c:pt idx="33">
                  <c:v>756.33255744477503</c:v>
                </c:pt>
                <c:pt idx="34">
                  <c:v>762.62126257130797</c:v>
                </c:pt>
                <c:pt idx="35">
                  <c:v>768.92739685254367</c:v>
                </c:pt>
                <c:pt idx="36">
                  <c:v>775.25091685616837</c:v>
                </c:pt>
                <c:pt idx="37">
                  <c:v>781.59177748298828</c:v>
                </c:pt>
                <c:pt idx="38">
                  <c:v>787.94993194410483</c:v>
                </c:pt>
                <c:pt idx="39">
                  <c:v>796.53793711871401</c:v>
                </c:pt>
                <c:pt idx="40">
                  <c:v>805.1912111326501</c:v>
                </c:pt>
                <c:pt idx="41">
                  <c:v>813.91025002909225</c:v>
                </c:pt>
                <c:pt idx="42">
                  <c:v>822.69555362114727</c:v>
                </c:pt>
                <c:pt idx="43">
                  <c:v>831.54762552050215</c:v>
                </c:pt>
              </c:numCache>
            </c:numRef>
          </c:val>
          <c:smooth val="0"/>
          <c:extLst>
            <c:ext xmlns:c16="http://schemas.microsoft.com/office/drawing/2014/chart" uri="{C3380CC4-5D6E-409C-BE32-E72D297353CC}">
              <c16:uniqueId val="{00000002-BFAA-4CAB-9213-157FC0B873DF}"/>
            </c:ext>
          </c:extLst>
        </c:ser>
        <c:ser>
          <c:idx val="3"/>
          <c:order val="3"/>
          <c:tx>
            <c:v>6%</c:v>
          </c:tx>
          <c:spPr>
            <a:ln w="19050" cap="rnd">
              <a:solidFill>
                <a:srgbClr val="C00000"/>
              </a:solidFill>
              <a:prstDash val="sysDot"/>
              <a:round/>
            </a:ln>
            <a:effectLst/>
          </c:spPr>
          <c:marker>
            <c:symbol val="none"/>
          </c:marker>
          <c:cat>
            <c:numRef>
              <c:f>Tradeoff_Price!$B$30:$B$73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Tradeoff_Price!$H$30:$H$73</c:f>
              <c:numCache>
                <c:formatCode>0.00</c:formatCode>
                <c:ptCount val="44"/>
                <c:pt idx="0">
                  <c:v>630.20237905663532</c:v>
                </c:pt>
                <c:pt idx="1">
                  <c:v>627.76963623123618</c:v>
                </c:pt>
                <c:pt idx="2">
                  <c:v>625.13259946811775</c:v>
                </c:pt>
                <c:pt idx="3">
                  <c:v>622.28870788451525</c:v>
                </c:pt>
                <c:pt idx="4">
                  <c:v>619.23537347226409</c:v>
                </c:pt>
                <c:pt idx="5">
                  <c:v>615.96998083340975</c:v>
                </c:pt>
                <c:pt idx="6">
                  <c:v>612.48988691336649</c:v>
                </c:pt>
                <c:pt idx="7">
                  <c:v>608.79242073160242</c:v>
                </c:pt>
                <c:pt idx="8">
                  <c:v>604.87488310982735</c:v>
                </c:pt>
                <c:pt idx="9">
                  <c:v>610.7181804387584</c:v>
                </c:pt>
                <c:pt idx="10">
                  <c:v>616.57951291557879</c:v>
                </c:pt>
                <c:pt idx="11">
                  <c:v>622.45887204582516</c:v>
                </c:pt>
                <c:pt idx="12">
                  <c:v>628.35624816420841</c:v>
                </c:pt>
                <c:pt idx="13">
                  <c:v>634.27163041730705</c:v>
                </c:pt>
                <c:pt idx="14">
                  <c:v>640.20500674606637</c:v>
                </c:pt>
                <c:pt idx="15">
                  <c:v>646.15636386810013</c:v>
                </c:pt>
                <c:pt idx="16">
                  <c:v>652.12568725979133</c:v>
                </c:pt>
                <c:pt idx="17">
                  <c:v>658.11296113819435</c:v>
                </c:pt>
                <c:pt idx="18">
                  <c:v>648.17933240010461</c:v>
                </c:pt>
                <c:pt idx="19">
                  <c:v>654.05789983707871</c:v>
                </c:pt>
                <c:pt idx="20">
                  <c:v>659.95393318234164</c:v>
                </c:pt>
                <c:pt idx="21">
                  <c:v>665.86741193466287</c:v>
                </c:pt>
                <c:pt idx="22">
                  <c:v>671.79831427236286</c:v>
                </c:pt>
                <c:pt idx="23">
                  <c:v>677.74661703442564</c:v>
                </c:pt>
                <c:pt idx="24">
                  <c:v>683.71229570140122</c:v>
                </c:pt>
                <c:pt idx="25">
                  <c:v>689.69532437609587</c:v>
                </c:pt>
                <c:pt idx="26">
                  <c:v>695.69567576404631</c:v>
                </c:pt>
                <c:pt idx="27">
                  <c:v>701.71332115377618</c:v>
                </c:pt>
                <c:pt idx="28">
                  <c:v>707.74823039683577</c:v>
                </c:pt>
                <c:pt idx="29">
                  <c:v>713.80037188761673</c:v>
                </c:pt>
                <c:pt idx="30">
                  <c:v>719.86971254294565</c:v>
                </c:pt>
                <c:pt idx="31">
                  <c:v>725.95621778145005</c:v>
                </c:pt>
                <c:pt idx="32">
                  <c:v>732.05985150269692</c:v>
                </c:pt>
                <c:pt idx="33">
                  <c:v>738.18057606610034</c:v>
                </c:pt>
                <c:pt idx="34">
                  <c:v>744.3183522695964</c:v>
                </c:pt>
                <c:pt idx="35">
                  <c:v>750.47313932808265</c:v>
                </c:pt>
                <c:pt idx="36">
                  <c:v>756.64489485162028</c:v>
                </c:pt>
                <c:pt idx="37">
                  <c:v>762.8335748233967</c:v>
                </c:pt>
                <c:pt idx="38">
                  <c:v>769.03913357744648</c:v>
                </c:pt>
                <c:pt idx="39">
                  <c:v>777.42102662786476</c:v>
                </c:pt>
                <c:pt idx="40">
                  <c:v>785.86662206546646</c:v>
                </c:pt>
                <c:pt idx="41">
                  <c:v>794.37640402839406</c:v>
                </c:pt>
                <c:pt idx="42">
                  <c:v>802.95086033423979</c:v>
                </c:pt>
                <c:pt idx="43">
                  <c:v>811.59048250801004</c:v>
                </c:pt>
              </c:numCache>
            </c:numRef>
          </c:val>
          <c:smooth val="0"/>
          <c:extLst>
            <c:ext xmlns:c16="http://schemas.microsoft.com/office/drawing/2014/chart" uri="{C3380CC4-5D6E-409C-BE32-E72D297353CC}">
              <c16:uniqueId val="{00000003-BFAA-4CAB-9213-157FC0B873DF}"/>
            </c:ext>
          </c:extLst>
        </c:ser>
        <c:ser>
          <c:idx val="4"/>
          <c:order val="4"/>
          <c:tx>
            <c:v>9%</c:v>
          </c:tx>
          <c:spPr>
            <a:ln w="19050" cap="rnd">
              <a:solidFill>
                <a:srgbClr val="C00000"/>
              </a:solidFill>
              <a:prstDash val="sysDot"/>
              <a:round/>
            </a:ln>
            <a:effectLst/>
          </c:spPr>
          <c:marker>
            <c:symbol val="none"/>
          </c:marker>
          <c:cat>
            <c:numRef>
              <c:f>Tradeoff_Price!$B$30:$B$73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Tradeoff_Price!$J$30:$J$73</c:f>
              <c:numCache>
                <c:formatCode>0.00</c:formatCode>
                <c:ptCount val="44"/>
                <c:pt idx="0">
                  <c:v>630.20237905663532</c:v>
                </c:pt>
                <c:pt idx="1">
                  <c:v>627.76963623123618</c:v>
                </c:pt>
                <c:pt idx="2">
                  <c:v>625.13259946811775</c:v>
                </c:pt>
                <c:pt idx="3">
                  <c:v>622.28870788451525</c:v>
                </c:pt>
                <c:pt idx="4">
                  <c:v>619.23537347226409</c:v>
                </c:pt>
                <c:pt idx="5">
                  <c:v>615.96998083340975</c:v>
                </c:pt>
                <c:pt idx="6">
                  <c:v>612.48988691336649</c:v>
                </c:pt>
                <c:pt idx="7">
                  <c:v>608.79242073160242</c:v>
                </c:pt>
                <c:pt idx="8">
                  <c:v>604.87488310982735</c:v>
                </c:pt>
                <c:pt idx="9">
                  <c:v>610.7181804387584</c:v>
                </c:pt>
                <c:pt idx="10">
                  <c:v>616.57951291557879</c:v>
                </c:pt>
                <c:pt idx="11">
                  <c:v>622.45887204582516</c:v>
                </c:pt>
                <c:pt idx="12">
                  <c:v>628.35624816420841</c:v>
                </c:pt>
                <c:pt idx="13">
                  <c:v>634.27163041730705</c:v>
                </c:pt>
                <c:pt idx="14">
                  <c:v>640.20500674606637</c:v>
                </c:pt>
                <c:pt idx="15">
                  <c:v>646.15636386810013</c:v>
                </c:pt>
                <c:pt idx="16">
                  <c:v>652.12568725979133</c:v>
                </c:pt>
                <c:pt idx="17">
                  <c:v>658.11296113819435</c:v>
                </c:pt>
                <c:pt idx="18">
                  <c:v>640.20991437879172</c:v>
                </c:pt>
                <c:pt idx="19">
                  <c:v>646.01620434727852</c:v>
                </c:pt>
                <c:pt idx="20">
                  <c:v>651.83974547927994</c:v>
                </c:pt>
                <c:pt idx="21">
                  <c:v>657.68051752563008</c:v>
                </c:pt>
                <c:pt idx="22">
                  <c:v>663.53849893294853</c:v>
                </c:pt>
                <c:pt idx="23">
                  <c:v>669.41366682498597</c:v>
                </c:pt>
                <c:pt idx="24">
                  <c:v>675.30599698376091</c:v>
                </c:pt>
                <c:pt idx="25">
                  <c:v>681.21546383048815</c:v>
                </c:pt>
                <c:pt idx="26">
                  <c:v>687.14204040629158</c:v>
                </c:pt>
                <c:pt idx="27">
                  <c:v>693.08569835270509</c:v>
                </c:pt>
                <c:pt idx="28">
                  <c:v>699.04640789195662</c:v>
                </c:pt>
                <c:pt idx="29">
                  <c:v>705.02413780703125</c:v>
                </c:pt>
                <c:pt idx="30">
                  <c:v>711.01885542151592</c:v>
                </c:pt>
                <c:pt idx="31">
                  <c:v>717.0305265792191</c:v>
                </c:pt>
                <c:pt idx="32">
                  <c:v>723.0591156235655</c:v>
                </c:pt>
                <c:pt idx="33">
                  <c:v>729.10458537676323</c:v>
                </c:pt>
                <c:pt idx="34">
                  <c:v>735.16689711874085</c:v>
                </c:pt>
                <c:pt idx="35">
                  <c:v>741.24601056585198</c:v>
                </c:pt>
                <c:pt idx="36">
                  <c:v>747.34188384934623</c:v>
                </c:pt>
                <c:pt idx="37">
                  <c:v>753.45447349360086</c:v>
                </c:pt>
                <c:pt idx="38">
                  <c:v>759.58373439411696</c:v>
                </c:pt>
                <c:pt idx="39">
                  <c:v>767.86257138244036</c:v>
                </c:pt>
                <c:pt idx="40">
                  <c:v>776.2043275318747</c:v>
                </c:pt>
                <c:pt idx="41">
                  <c:v>784.60948102804502</c:v>
                </c:pt>
                <c:pt idx="42">
                  <c:v>793.07851369078605</c:v>
                </c:pt>
                <c:pt idx="43">
                  <c:v>801.61191100176393</c:v>
                </c:pt>
              </c:numCache>
            </c:numRef>
          </c:val>
          <c:smooth val="0"/>
          <c:extLst>
            <c:ext xmlns:c16="http://schemas.microsoft.com/office/drawing/2014/chart" uri="{C3380CC4-5D6E-409C-BE32-E72D297353CC}">
              <c16:uniqueId val="{00000004-BFAA-4CAB-9213-157FC0B873DF}"/>
            </c:ext>
          </c:extLst>
        </c:ser>
        <c:ser>
          <c:idx val="5"/>
          <c:order val="5"/>
          <c:tx>
            <c:v>12%</c:v>
          </c:tx>
          <c:spPr>
            <a:ln w="19050" cap="rnd">
              <a:solidFill>
                <a:srgbClr val="C00000"/>
              </a:solidFill>
              <a:prstDash val="sysDot"/>
              <a:round/>
            </a:ln>
            <a:effectLst/>
          </c:spPr>
          <c:marker>
            <c:symbol val="none"/>
          </c:marker>
          <c:cat>
            <c:numRef>
              <c:f>Tradeoff_Price!$B$30:$B$73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Tradeoff_Price!$L$30:$L$73</c:f>
              <c:numCache>
                <c:formatCode>0.00</c:formatCode>
                <c:ptCount val="44"/>
                <c:pt idx="0">
                  <c:v>630.20237905663532</c:v>
                </c:pt>
                <c:pt idx="1">
                  <c:v>627.76963623123618</c:v>
                </c:pt>
                <c:pt idx="2">
                  <c:v>625.13259946811775</c:v>
                </c:pt>
                <c:pt idx="3">
                  <c:v>622.28870788451525</c:v>
                </c:pt>
                <c:pt idx="4">
                  <c:v>619.23537347226409</c:v>
                </c:pt>
                <c:pt idx="5">
                  <c:v>615.96998083340975</c:v>
                </c:pt>
                <c:pt idx="6">
                  <c:v>612.48988691336649</c:v>
                </c:pt>
                <c:pt idx="7">
                  <c:v>608.79242073160242</c:v>
                </c:pt>
                <c:pt idx="8">
                  <c:v>604.87488310982735</c:v>
                </c:pt>
                <c:pt idx="9">
                  <c:v>610.7181804387584</c:v>
                </c:pt>
                <c:pt idx="10">
                  <c:v>616.57951291557879</c:v>
                </c:pt>
                <c:pt idx="11">
                  <c:v>622.45887204582516</c:v>
                </c:pt>
                <c:pt idx="12">
                  <c:v>628.35624816420841</c:v>
                </c:pt>
                <c:pt idx="13">
                  <c:v>634.27163041730705</c:v>
                </c:pt>
                <c:pt idx="14">
                  <c:v>640.20500674606637</c:v>
                </c:pt>
                <c:pt idx="15">
                  <c:v>646.15636386810013</c:v>
                </c:pt>
                <c:pt idx="16">
                  <c:v>652.12568725979133</c:v>
                </c:pt>
                <c:pt idx="17">
                  <c:v>658.11296113819435</c:v>
                </c:pt>
                <c:pt idx="18">
                  <c:v>632.24049635747895</c:v>
                </c:pt>
                <c:pt idx="19">
                  <c:v>637.97450885747833</c:v>
                </c:pt>
                <c:pt idx="20">
                  <c:v>643.72555777621847</c:v>
                </c:pt>
                <c:pt idx="21">
                  <c:v>649.49362311659718</c:v>
                </c:pt>
                <c:pt idx="22">
                  <c:v>655.27868359353431</c:v>
                </c:pt>
                <c:pt idx="23">
                  <c:v>661.08071661554618</c:v>
                </c:pt>
                <c:pt idx="24">
                  <c:v>666.89969826612071</c:v>
                </c:pt>
                <c:pt idx="25">
                  <c:v>672.73560328488054</c:v>
                </c:pt>
                <c:pt idx="26">
                  <c:v>678.58840504853686</c:v>
                </c:pt>
                <c:pt idx="27">
                  <c:v>684.45807555163401</c:v>
                </c:pt>
                <c:pt idx="28">
                  <c:v>690.34458538707747</c:v>
                </c:pt>
                <c:pt idx="29">
                  <c:v>696.24790372644577</c:v>
                </c:pt>
                <c:pt idx="30">
                  <c:v>702.16799830008631</c:v>
                </c:pt>
                <c:pt idx="31">
                  <c:v>708.10483537698838</c:v>
                </c:pt>
                <c:pt idx="32">
                  <c:v>714.05837974443386</c:v>
                </c:pt>
                <c:pt idx="33">
                  <c:v>720.02859468742588</c:v>
                </c:pt>
                <c:pt idx="34">
                  <c:v>726.01544196788507</c:v>
                </c:pt>
                <c:pt idx="35">
                  <c:v>732.01888180362164</c:v>
                </c:pt>
                <c:pt idx="36">
                  <c:v>738.03887284707218</c:v>
                </c:pt>
                <c:pt idx="37">
                  <c:v>744.0753721638049</c:v>
                </c:pt>
                <c:pt idx="38">
                  <c:v>750.12833521078767</c:v>
                </c:pt>
                <c:pt idx="39">
                  <c:v>758.30411613701563</c:v>
                </c:pt>
                <c:pt idx="40">
                  <c:v>766.54203299828293</c:v>
                </c:pt>
                <c:pt idx="41">
                  <c:v>774.84255802769565</c:v>
                </c:pt>
                <c:pt idx="42">
                  <c:v>783.2061670473322</c:v>
                </c:pt>
                <c:pt idx="43">
                  <c:v>791.63333949551782</c:v>
                </c:pt>
              </c:numCache>
            </c:numRef>
          </c:val>
          <c:smooth val="0"/>
          <c:extLst>
            <c:ext xmlns:c16="http://schemas.microsoft.com/office/drawing/2014/chart" uri="{C3380CC4-5D6E-409C-BE32-E72D297353CC}">
              <c16:uniqueId val="{00000005-BFAA-4CAB-9213-157FC0B873DF}"/>
            </c:ext>
          </c:extLst>
        </c:ser>
        <c:dLbls>
          <c:showLegendKey val="0"/>
          <c:showVal val="0"/>
          <c:showCatName val="0"/>
          <c:showSerName val="0"/>
          <c:showPercent val="0"/>
          <c:showBubbleSize val="0"/>
        </c:dLbls>
        <c:smooth val="0"/>
        <c:axId val="2086673775"/>
        <c:axId val="2086676271"/>
      </c:lineChart>
      <c:catAx>
        <c:axId val="20866737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676271"/>
        <c:crosses val="autoZero"/>
        <c:auto val="1"/>
        <c:lblAlgn val="ctr"/>
        <c:lblOffset val="100"/>
        <c:noMultiLvlLbl val="0"/>
      </c:catAx>
      <c:valAx>
        <c:axId val="2086676271"/>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 (million m^3)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673775"/>
        <c:crosses val="autoZero"/>
        <c:crossBetween val="between"/>
      </c:valAx>
      <c:spPr>
        <a:noFill/>
        <a:ln>
          <a:noFill/>
        </a:ln>
        <a:effectLst/>
      </c:spPr>
    </c:plotArea>
    <c:legend>
      <c:legendPos val="b"/>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sz="1300"/>
              <a:t>Demand</a:t>
            </a:r>
            <a:r>
              <a:rPr lang="en-SG" sz="1300" baseline="0"/>
              <a:t> and Supply of Non-</a:t>
            </a:r>
            <a:r>
              <a:rPr lang="en-SG" sz="1300"/>
              <a:t>Potable Water (0-12% Price Hike)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Non-Potable Supply</c:v>
          </c:tx>
          <c:spPr>
            <a:ln w="28575" cap="rnd">
              <a:solidFill>
                <a:schemeClr val="accent2"/>
              </a:solidFill>
              <a:round/>
            </a:ln>
            <a:effectLst/>
          </c:spPr>
          <c:marker>
            <c:symbol val="none"/>
          </c:marker>
          <c:cat>
            <c:numRef>
              <c:f>Tradeoff_Price!$B$30:$B$73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Tradeoff_Price!$R$30:$R$73</c:f>
              <c:numCache>
                <c:formatCode>0.00</c:formatCode>
                <c:ptCount val="44"/>
                <c:pt idx="0">
                  <c:v>247.39999999999998</c:v>
                </c:pt>
                <c:pt idx="1">
                  <c:v>247.39999999999998</c:v>
                </c:pt>
                <c:pt idx="2">
                  <c:v>247.39999999999998</c:v>
                </c:pt>
                <c:pt idx="3">
                  <c:v>247.39999999999998</c:v>
                </c:pt>
                <c:pt idx="4">
                  <c:v>247.39999999999998</c:v>
                </c:pt>
                <c:pt idx="5">
                  <c:v>247.39999999999998</c:v>
                </c:pt>
                <c:pt idx="6">
                  <c:v>247.39999999999998</c:v>
                </c:pt>
                <c:pt idx="7">
                  <c:v>247.39999999999998</c:v>
                </c:pt>
                <c:pt idx="8">
                  <c:v>247.39999999999998</c:v>
                </c:pt>
                <c:pt idx="9">
                  <c:v>247.39999999999998</c:v>
                </c:pt>
                <c:pt idx="10">
                  <c:v>247.39999999999998</c:v>
                </c:pt>
                <c:pt idx="11">
                  <c:v>247.39999999999998</c:v>
                </c:pt>
                <c:pt idx="12">
                  <c:v>247.39999999999998</c:v>
                </c:pt>
                <c:pt idx="13">
                  <c:v>247.39999999999998</c:v>
                </c:pt>
                <c:pt idx="14">
                  <c:v>247.39999999999998</c:v>
                </c:pt>
                <c:pt idx="15">
                  <c:v>247.39999999999998</c:v>
                </c:pt>
                <c:pt idx="16">
                  <c:v>247.39999999999998</c:v>
                </c:pt>
                <c:pt idx="17">
                  <c:v>247.39999999999998</c:v>
                </c:pt>
                <c:pt idx="18">
                  <c:v>247.39999999999998</c:v>
                </c:pt>
                <c:pt idx="19">
                  <c:v>247.39999999999998</c:v>
                </c:pt>
                <c:pt idx="20">
                  <c:v>247.39999999999998</c:v>
                </c:pt>
                <c:pt idx="21">
                  <c:v>247.39999999999998</c:v>
                </c:pt>
                <c:pt idx="22">
                  <c:v>247.39999999999998</c:v>
                </c:pt>
                <c:pt idx="23">
                  <c:v>247.39999999999998</c:v>
                </c:pt>
                <c:pt idx="24">
                  <c:v>247.39999999999998</c:v>
                </c:pt>
                <c:pt idx="25">
                  <c:v>247.39999999999998</c:v>
                </c:pt>
                <c:pt idx="26">
                  <c:v>247.39999999999998</c:v>
                </c:pt>
                <c:pt idx="27">
                  <c:v>247.39999999999998</c:v>
                </c:pt>
                <c:pt idx="28">
                  <c:v>247.39999999999998</c:v>
                </c:pt>
                <c:pt idx="29">
                  <c:v>247.39999999999998</c:v>
                </c:pt>
                <c:pt idx="30">
                  <c:v>247.39999999999998</c:v>
                </c:pt>
                <c:pt idx="31">
                  <c:v>247.39999999999998</c:v>
                </c:pt>
                <c:pt idx="32">
                  <c:v>247.39999999999998</c:v>
                </c:pt>
                <c:pt idx="33">
                  <c:v>247.39999999999998</c:v>
                </c:pt>
                <c:pt idx="34">
                  <c:v>247.39999999999998</c:v>
                </c:pt>
                <c:pt idx="35">
                  <c:v>247.39999999999998</c:v>
                </c:pt>
                <c:pt idx="36">
                  <c:v>247.39999999999998</c:v>
                </c:pt>
                <c:pt idx="37">
                  <c:v>247.39999999999998</c:v>
                </c:pt>
                <c:pt idx="38">
                  <c:v>247.39999999999998</c:v>
                </c:pt>
                <c:pt idx="39">
                  <c:v>247.39999999999998</c:v>
                </c:pt>
                <c:pt idx="40">
                  <c:v>247.39999999999998</c:v>
                </c:pt>
                <c:pt idx="41">
                  <c:v>247.39999999999998</c:v>
                </c:pt>
                <c:pt idx="42">
                  <c:v>247.39999999999998</c:v>
                </c:pt>
                <c:pt idx="43">
                  <c:v>247.39999999999998</c:v>
                </c:pt>
              </c:numCache>
            </c:numRef>
          </c:val>
          <c:smooth val="0"/>
          <c:extLst>
            <c:ext xmlns:c16="http://schemas.microsoft.com/office/drawing/2014/chart" uri="{C3380CC4-5D6E-409C-BE32-E72D297353CC}">
              <c16:uniqueId val="{00000001-1067-4537-ADF3-64DC13302745}"/>
            </c:ext>
          </c:extLst>
        </c:ser>
        <c:ser>
          <c:idx val="0"/>
          <c:order val="1"/>
          <c:tx>
            <c:v>Non-Potable Demand (3%)</c:v>
          </c:tx>
          <c:spPr>
            <a:ln w="19050" cap="rnd">
              <a:solidFill>
                <a:srgbClr val="C00000"/>
              </a:solidFill>
              <a:prstDash val="solid"/>
              <a:round/>
            </a:ln>
            <a:effectLst/>
          </c:spPr>
          <c:marker>
            <c:symbol val="none"/>
          </c:marker>
          <c:cat>
            <c:numRef>
              <c:f>Tradeoff_Price!$B$30:$B$73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Tradeoff_Price!$G$30:$G$73</c:f>
              <c:numCache>
                <c:formatCode>0.00</c:formatCode>
                <c:ptCount val="44"/>
                <c:pt idx="0">
                  <c:v>123.56712497714432</c:v>
                </c:pt>
                <c:pt idx="1">
                  <c:v>129.67819605592661</c:v>
                </c:pt>
                <c:pt idx="2">
                  <c:v>135.82591504601783</c:v>
                </c:pt>
                <c:pt idx="3">
                  <c:v>142.00547445989025</c:v>
                </c:pt>
                <c:pt idx="4">
                  <c:v>148.21177262103936</c:v>
                </c:pt>
                <c:pt idx="5">
                  <c:v>154.43939712615213</c:v>
                </c:pt>
                <c:pt idx="6">
                  <c:v>160.68260725182063</c:v>
                </c:pt>
                <c:pt idx="7">
                  <c:v>166.93531522734122</c:v>
                </c:pt>
                <c:pt idx="8">
                  <c:v>173.1910662884145</c:v>
                </c:pt>
                <c:pt idx="9">
                  <c:v>182.42518887558731</c:v>
                </c:pt>
                <c:pt idx="10">
                  <c:v>191.97671920774599</c:v>
                </c:pt>
                <c:pt idx="11">
                  <c:v>201.85670588242294</c:v>
                </c:pt>
                <c:pt idx="12">
                  <c:v>212.07669134218656</c:v>
                </c:pt>
                <c:pt idx="13">
                  <c:v>222.6487397568601</c:v>
                </c:pt>
                <c:pt idx="14">
                  <c:v>233.58546681963708</c:v>
                </c:pt>
                <c:pt idx="15">
                  <c:v>244.9000716122157</c:v>
                </c:pt>
                <c:pt idx="16">
                  <c:v>256.60637070860889</c:v>
                </c:pt>
                <c:pt idx="17">
                  <c:v>268.71883470337229</c:v>
                </c:pt>
                <c:pt idx="18">
                  <c:v>277.87759583941033</c:v>
                </c:pt>
                <c:pt idx="19">
                  <c:v>290.6929638857099</c:v>
                </c:pt>
                <c:pt idx="20">
                  <c:v>303.95679191905049</c:v>
                </c:pt>
                <c:pt idx="21">
                  <c:v>317.68637784661996</c:v>
                </c:pt>
                <c:pt idx="22">
                  <c:v>331.89988989781352</c:v>
                </c:pt>
                <c:pt idx="23">
                  <c:v>346.6164220750976</c:v>
                </c:pt>
                <c:pt idx="24">
                  <c:v>361.85605390423791</c:v>
                </c:pt>
                <c:pt idx="25">
                  <c:v>377.63991487799478</c:v>
                </c:pt>
                <c:pt idx="26">
                  <c:v>393.99025402923644</c:v>
                </c:pt>
                <c:pt idx="27">
                  <c:v>410.93051511631722</c:v>
                </c:pt>
                <c:pt idx="28">
                  <c:v>428.48541795622396</c:v>
                </c:pt>
                <c:pt idx="29">
                  <c:v>446.68104650019473</c:v>
                </c:pt>
                <c:pt idx="30">
                  <c:v>465.54494431319051</c:v>
                </c:pt>
                <c:pt idx="31">
                  <c:v>485.10621819379821</c:v>
                </c:pt>
                <c:pt idx="32">
                  <c:v>505.39565075609289</c:v>
                </c:pt>
                <c:pt idx="33">
                  <c:v>526.44582289114032</c:v>
                </c:pt>
                <c:pt idx="34">
                  <c:v>548.29124713480235</c:v>
                </c:pt>
                <c:pt idx="35">
                  <c:v>570.96851309227497</c:v>
                </c:pt>
                <c:pt idx="36">
                  <c:v>594.51644621060404</c:v>
                </c:pt>
                <c:pt idx="37">
                  <c:v>618.97628135092748</c:v>
                </c:pt>
                <c:pt idx="38">
                  <c:v>644.39185279548656</c:v>
                </c:pt>
                <c:pt idx="39">
                  <c:v>651.41519316513359</c:v>
                </c:pt>
                <c:pt idx="40">
                  <c:v>658.49191092158969</c:v>
                </c:pt>
                <c:pt idx="41">
                  <c:v>665.62241173299526</c:v>
                </c:pt>
                <c:pt idx="42">
                  <c:v>672.80710435056722</c:v>
                </c:pt>
                <c:pt idx="43">
                  <c:v>680.04640063203294</c:v>
                </c:pt>
              </c:numCache>
            </c:numRef>
          </c:val>
          <c:smooth val="0"/>
          <c:extLst>
            <c:ext xmlns:c16="http://schemas.microsoft.com/office/drawing/2014/chart" uri="{C3380CC4-5D6E-409C-BE32-E72D297353CC}">
              <c16:uniqueId val="{00000000-1067-4537-ADF3-64DC13302745}"/>
            </c:ext>
          </c:extLst>
        </c:ser>
        <c:ser>
          <c:idx val="2"/>
          <c:order val="2"/>
          <c:tx>
            <c:v>0%</c:v>
          </c:tx>
          <c:spPr>
            <a:ln w="19050" cap="rnd">
              <a:solidFill>
                <a:srgbClr val="C00000"/>
              </a:solidFill>
              <a:prstDash val="sysDot"/>
              <a:round/>
            </a:ln>
            <a:effectLst/>
          </c:spPr>
          <c:marker>
            <c:symbol val="none"/>
          </c:marker>
          <c:cat>
            <c:numRef>
              <c:f>Tradeoff_Price!$B$30:$B$73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Tradeoff_Price!$E$30:$E$73</c:f>
              <c:numCache>
                <c:formatCode>0.00</c:formatCode>
                <c:ptCount val="44"/>
                <c:pt idx="0">
                  <c:v>123.56712497714432</c:v>
                </c:pt>
                <c:pt idx="1">
                  <c:v>129.67819605592661</c:v>
                </c:pt>
                <c:pt idx="2">
                  <c:v>135.82591504601783</c:v>
                </c:pt>
                <c:pt idx="3">
                  <c:v>142.00547445989025</c:v>
                </c:pt>
                <c:pt idx="4">
                  <c:v>148.21177262103936</c:v>
                </c:pt>
                <c:pt idx="5">
                  <c:v>154.43939712615213</c:v>
                </c:pt>
                <c:pt idx="6">
                  <c:v>160.68260725182063</c:v>
                </c:pt>
                <c:pt idx="7">
                  <c:v>166.93531522734122</c:v>
                </c:pt>
                <c:pt idx="8">
                  <c:v>173.1910662884145</c:v>
                </c:pt>
                <c:pt idx="9">
                  <c:v>182.42518887558731</c:v>
                </c:pt>
                <c:pt idx="10">
                  <c:v>191.97671920774599</c:v>
                </c:pt>
                <c:pt idx="11">
                  <c:v>201.85670588242294</c:v>
                </c:pt>
                <c:pt idx="12">
                  <c:v>212.07669134218656</c:v>
                </c:pt>
                <c:pt idx="13">
                  <c:v>222.6487397568601</c:v>
                </c:pt>
                <c:pt idx="14">
                  <c:v>233.58546681963708</c:v>
                </c:pt>
                <c:pt idx="15">
                  <c:v>244.9000716122157</c:v>
                </c:pt>
                <c:pt idx="16">
                  <c:v>256.60637070860889</c:v>
                </c:pt>
                <c:pt idx="17">
                  <c:v>268.71883470337229</c:v>
                </c:pt>
                <c:pt idx="18">
                  <c:v>281.2526273678244</c:v>
                </c:pt>
                <c:pt idx="19">
                  <c:v>294.22364765760096</c:v>
                </c:pt>
                <c:pt idx="20">
                  <c:v>307.64857481685283</c:v>
                </c:pt>
                <c:pt idx="21">
                  <c:v>321.54491684880577</c:v>
                </c:pt>
                <c:pt idx="22">
                  <c:v>335.93106264960886</c:v>
                </c:pt>
                <c:pt idx="23">
                  <c:v>350.82633813268978</c:v>
                </c:pt>
                <c:pt idx="24">
                  <c:v>366.25106670469438</c:v>
                </c:pt>
                <c:pt idx="25">
                  <c:v>382.22663449189758</c:v>
                </c:pt>
                <c:pt idx="26">
                  <c:v>398.7755607583365</c:v>
                </c:pt>
                <c:pt idx="27">
                  <c:v>415.92157400436975</c:v>
                </c:pt>
                <c:pt idx="28">
                  <c:v>433.68969428767605</c:v>
                </c:pt>
                <c:pt idx="29">
                  <c:v>452.10632236861784</c:v>
                </c:pt>
                <c:pt idx="30">
                  <c:v>471.1993363493832</c:v>
                </c:pt>
                <c:pt idx="31">
                  <c:v>490.99819655242743</c:v>
                </c:pt>
                <c:pt idx="32">
                  <c:v>511.53405946972975</c:v>
                </c:pt>
                <c:pt idx="33">
                  <c:v>532.83990171168034</c:v>
                </c:pt>
                <c:pt idx="34">
                  <c:v>554.95065499473901</c:v>
                </c:pt>
                <c:pt idx="35">
                  <c:v>577.90335333226199</c:v>
                </c:pt>
                <c:pt idx="36">
                  <c:v>601.73729373542938</c:v>
                </c:pt>
                <c:pt idx="37">
                  <c:v>626.49421189365137</c:v>
                </c:pt>
                <c:pt idx="38">
                  <c:v>652.2184744893591</c:v>
                </c:pt>
                <c:pt idx="39">
                  <c:v>659.32711858819198</c:v>
                </c:pt>
                <c:pt idx="40">
                  <c:v>666.48978838217613</c:v>
                </c:pt>
                <c:pt idx="41">
                  <c:v>673.70689446659435</c:v>
                </c:pt>
                <c:pt idx="42">
                  <c:v>680.97885055725442</c:v>
                </c:pt>
                <c:pt idx="43">
                  <c:v>688.30607351420326</c:v>
                </c:pt>
              </c:numCache>
            </c:numRef>
          </c:val>
          <c:smooth val="0"/>
          <c:extLst>
            <c:ext xmlns:c16="http://schemas.microsoft.com/office/drawing/2014/chart" uri="{C3380CC4-5D6E-409C-BE32-E72D297353CC}">
              <c16:uniqueId val="{00000002-1067-4537-ADF3-64DC13302745}"/>
            </c:ext>
          </c:extLst>
        </c:ser>
        <c:ser>
          <c:idx val="3"/>
          <c:order val="3"/>
          <c:tx>
            <c:v>6%</c:v>
          </c:tx>
          <c:spPr>
            <a:ln w="19050" cap="rnd">
              <a:solidFill>
                <a:srgbClr val="C00000"/>
              </a:solidFill>
              <a:prstDash val="sysDot"/>
              <a:round/>
            </a:ln>
            <a:effectLst/>
          </c:spPr>
          <c:marker>
            <c:symbol val="none"/>
          </c:marker>
          <c:cat>
            <c:numRef>
              <c:f>Tradeoff_Price!$B$30:$B$73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Tradeoff_Price!$I$30:$I$73</c:f>
              <c:numCache>
                <c:formatCode>0.00</c:formatCode>
                <c:ptCount val="44"/>
                <c:pt idx="0">
                  <c:v>123.56712497714432</c:v>
                </c:pt>
                <c:pt idx="1">
                  <c:v>129.67819605592661</c:v>
                </c:pt>
                <c:pt idx="2">
                  <c:v>135.82591504601783</c:v>
                </c:pt>
                <c:pt idx="3">
                  <c:v>142.00547445989025</c:v>
                </c:pt>
                <c:pt idx="4">
                  <c:v>148.21177262103936</c:v>
                </c:pt>
                <c:pt idx="5">
                  <c:v>154.43939712615213</c:v>
                </c:pt>
                <c:pt idx="6">
                  <c:v>160.68260725182063</c:v>
                </c:pt>
                <c:pt idx="7">
                  <c:v>166.93531522734122</c:v>
                </c:pt>
                <c:pt idx="8">
                  <c:v>173.1910662884145</c:v>
                </c:pt>
                <c:pt idx="9">
                  <c:v>182.42518887558731</c:v>
                </c:pt>
                <c:pt idx="10">
                  <c:v>191.97671920774599</c:v>
                </c:pt>
                <c:pt idx="11">
                  <c:v>201.85670588242294</c:v>
                </c:pt>
                <c:pt idx="12">
                  <c:v>212.07669134218656</c:v>
                </c:pt>
                <c:pt idx="13">
                  <c:v>222.6487397568601</c:v>
                </c:pt>
                <c:pt idx="14">
                  <c:v>233.58546681963708</c:v>
                </c:pt>
                <c:pt idx="15">
                  <c:v>244.9000716122157</c:v>
                </c:pt>
                <c:pt idx="16">
                  <c:v>256.60637070860889</c:v>
                </c:pt>
                <c:pt idx="17">
                  <c:v>268.71883470337229</c:v>
                </c:pt>
                <c:pt idx="18">
                  <c:v>274.50256431099638</c:v>
                </c:pt>
                <c:pt idx="19">
                  <c:v>287.16228011381872</c:v>
                </c:pt>
                <c:pt idx="20">
                  <c:v>300.26500902124826</c:v>
                </c:pt>
                <c:pt idx="21">
                  <c:v>313.82783884443438</c:v>
                </c:pt>
                <c:pt idx="22">
                  <c:v>327.86871714601807</c:v>
                </c:pt>
                <c:pt idx="23">
                  <c:v>342.40650601750519</c:v>
                </c:pt>
                <c:pt idx="24">
                  <c:v>357.46104110378155</c:v>
                </c:pt>
                <c:pt idx="25">
                  <c:v>373.0531952640921</c:v>
                </c:pt>
                <c:pt idx="26">
                  <c:v>389.20494730013615</c:v>
                </c:pt>
                <c:pt idx="27">
                  <c:v>405.93945622826493</c:v>
                </c:pt>
                <c:pt idx="28">
                  <c:v>423.28114162477186</c:v>
                </c:pt>
                <c:pt idx="29">
                  <c:v>441.25577063177104</c:v>
                </c:pt>
                <c:pt idx="30">
                  <c:v>459.89055227699782</c:v>
                </c:pt>
                <c:pt idx="31">
                  <c:v>479.21423983516922</c:v>
                </c:pt>
                <c:pt idx="32">
                  <c:v>499.25724204245626</c:v>
                </c:pt>
                <c:pt idx="33">
                  <c:v>520.05174407060031</c:v>
                </c:pt>
                <c:pt idx="34">
                  <c:v>541.63183927486534</c:v>
                </c:pt>
                <c:pt idx="35">
                  <c:v>564.03367285228774</c:v>
                </c:pt>
                <c:pt idx="36">
                  <c:v>587.29559868577917</c:v>
                </c:pt>
                <c:pt idx="37">
                  <c:v>611.45835080820348</c:v>
                </c:pt>
                <c:pt idx="38">
                  <c:v>636.56523110161424</c:v>
                </c:pt>
                <c:pt idx="39">
                  <c:v>643.50326774207554</c:v>
                </c:pt>
                <c:pt idx="40">
                  <c:v>650.49403346100371</c:v>
                </c:pt>
                <c:pt idx="41">
                  <c:v>657.53792899939594</c:v>
                </c:pt>
                <c:pt idx="42">
                  <c:v>664.63535814388013</c:v>
                </c:pt>
                <c:pt idx="43">
                  <c:v>671.78672774986239</c:v>
                </c:pt>
              </c:numCache>
            </c:numRef>
          </c:val>
          <c:smooth val="0"/>
          <c:extLst>
            <c:ext xmlns:c16="http://schemas.microsoft.com/office/drawing/2014/chart" uri="{C3380CC4-5D6E-409C-BE32-E72D297353CC}">
              <c16:uniqueId val="{00000003-1067-4537-ADF3-64DC13302745}"/>
            </c:ext>
          </c:extLst>
        </c:ser>
        <c:ser>
          <c:idx val="4"/>
          <c:order val="4"/>
          <c:tx>
            <c:v>9%</c:v>
          </c:tx>
          <c:spPr>
            <a:ln w="19050" cap="rnd">
              <a:solidFill>
                <a:srgbClr val="C00000"/>
              </a:solidFill>
              <a:prstDash val="sysDot"/>
              <a:round/>
            </a:ln>
            <a:effectLst/>
          </c:spPr>
          <c:marker>
            <c:symbol val="none"/>
          </c:marker>
          <c:cat>
            <c:numRef>
              <c:f>Tradeoff_Price!$B$30:$B$73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Tradeoff_Price!$K$30:$K$73</c:f>
              <c:numCache>
                <c:formatCode>0.00</c:formatCode>
                <c:ptCount val="44"/>
                <c:pt idx="0">
                  <c:v>123.56712497714432</c:v>
                </c:pt>
                <c:pt idx="1">
                  <c:v>129.67819605592661</c:v>
                </c:pt>
                <c:pt idx="2">
                  <c:v>135.82591504601783</c:v>
                </c:pt>
                <c:pt idx="3">
                  <c:v>142.00547445989025</c:v>
                </c:pt>
                <c:pt idx="4">
                  <c:v>148.21177262103936</c:v>
                </c:pt>
                <c:pt idx="5">
                  <c:v>154.43939712615213</c:v>
                </c:pt>
                <c:pt idx="6">
                  <c:v>160.68260725182063</c:v>
                </c:pt>
                <c:pt idx="7">
                  <c:v>166.93531522734122</c:v>
                </c:pt>
                <c:pt idx="8">
                  <c:v>173.1910662884145</c:v>
                </c:pt>
                <c:pt idx="9">
                  <c:v>182.42518887558731</c:v>
                </c:pt>
                <c:pt idx="10">
                  <c:v>191.97671920774599</c:v>
                </c:pt>
                <c:pt idx="11">
                  <c:v>201.85670588242294</c:v>
                </c:pt>
                <c:pt idx="12">
                  <c:v>212.07669134218656</c:v>
                </c:pt>
                <c:pt idx="13">
                  <c:v>222.6487397568601</c:v>
                </c:pt>
                <c:pt idx="14">
                  <c:v>233.58546681963708</c:v>
                </c:pt>
                <c:pt idx="15">
                  <c:v>244.9000716122157</c:v>
                </c:pt>
                <c:pt idx="16">
                  <c:v>256.60637070860889</c:v>
                </c:pt>
                <c:pt idx="17">
                  <c:v>268.71883470337229</c:v>
                </c:pt>
                <c:pt idx="18">
                  <c:v>271.12753278258253</c:v>
                </c:pt>
                <c:pt idx="19">
                  <c:v>283.63159634192743</c:v>
                </c:pt>
                <c:pt idx="20">
                  <c:v>296.57322612344615</c:v>
                </c:pt>
                <c:pt idx="21">
                  <c:v>309.9692998422488</c:v>
                </c:pt>
                <c:pt idx="22">
                  <c:v>323.83754439422285</c:v>
                </c:pt>
                <c:pt idx="23">
                  <c:v>338.19658995991301</c:v>
                </c:pt>
                <c:pt idx="24">
                  <c:v>353.06602830332531</c:v>
                </c:pt>
                <c:pt idx="25">
                  <c:v>368.4664756501893</c:v>
                </c:pt>
                <c:pt idx="26">
                  <c:v>384.41964057103633</c:v>
                </c:pt>
                <c:pt idx="27">
                  <c:v>400.94839734021241</c:v>
                </c:pt>
                <c:pt idx="28">
                  <c:v>418.07686529331966</c:v>
                </c:pt>
                <c:pt idx="29">
                  <c:v>435.83049476334747</c:v>
                </c:pt>
                <c:pt idx="30">
                  <c:v>454.23616024080525</c:v>
                </c:pt>
                <c:pt idx="31">
                  <c:v>473.32226147654012</c:v>
                </c:pt>
                <c:pt idx="32">
                  <c:v>493.11883332881962</c:v>
                </c:pt>
                <c:pt idx="33">
                  <c:v>513.65766525005984</c:v>
                </c:pt>
                <c:pt idx="34">
                  <c:v>534.97243141492845</c:v>
                </c:pt>
                <c:pt idx="35">
                  <c:v>557.09883261230061</c:v>
                </c:pt>
                <c:pt idx="36">
                  <c:v>580.07475116095407</c:v>
                </c:pt>
                <c:pt idx="37">
                  <c:v>603.9404202654797</c:v>
                </c:pt>
                <c:pt idx="38">
                  <c:v>628.73860940774216</c:v>
                </c:pt>
                <c:pt idx="39">
                  <c:v>635.59134231901703</c:v>
                </c:pt>
                <c:pt idx="40">
                  <c:v>642.49615600041784</c:v>
                </c:pt>
                <c:pt idx="41">
                  <c:v>649.45344626579697</c:v>
                </c:pt>
                <c:pt idx="42">
                  <c:v>656.46361193719326</c:v>
                </c:pt>
                <c:pt idx="43">
                  <c:v>663.52705486769219</c:v>
                </c:pt>
              </c:numCache>
            </c:numRef>
          </c:val>
          <c:smooth val="0"/>
          <c:extLst>
            <c:ext xmlns:c16="http://schemas.microsoft.com/office/drawing/2014/chart" uri="{C3380CC4-5D6E-409C-BE32-E72D297353CC}">
              <c16:uniqueId val="{00000004-1067-4537-ADF3-64DC13302745}"/>
            </c:ext>
          </c:extLst>
        </c:ser>
        <c:ser>
          <c:idx val="5"/>
          <c:order val="5"/>
          <c:tx>
            <c:v>12%</c:v>
          </c:tx>
          <c:spPr>
            <a:ln w="19050" cap="rnd">
              <a:solidFill>
                <a:srgbClr val="C00000"/>
              </a:solidFill>
              <a:prstDash val="sysDot"/>
              <a:round/>
            </a:ln>
            <a:effectLst/>
          </c:spPr>
          <c:marker>
            <c:symbol val="none"/>
          </c:marker>
          <c:cat>
            <c:numRef>
              <c:f>Tradeoff_Price!$B$30:$B$73</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cat>
          <c:val>
            <c:numRef>
              <c:f>Tradeoff_Price!$M$30:$M$73</c:f>
              <c:numCache>
                <c:formatCode>0.00</c:formatCode>
                <c:ptCount val="44"/>
                <c:pt idx="0">
                  <c:v>123.56712497714432</c:v>
                </c:pt>
                <c:pt idx="1">
                  <c:v>129.67819605592661</c:v>
                </c:pt>
                <c:pt idx="2">
                  <c:v>135.82591504601783</c:v>
                </c:pt>
                <c:pt idx="3">
                  <c:v>142.00547445989025</c:v>
                </c:pt>
                <c:pt idx="4">
                  <c:v>148.21177262103936</c:v>
                </c:pt>
                <c:pt idx="5">
                  <c:v>154.43939712615213</c:v>
                </c:pt>
                <c:pt idx="6">
                  <c:v>160.68260725182063</c:v>
                </c:pt>
                <c:pt idx="7">
                  <c:v>166.93531522734122</c:v>
                </c:pt>
                <c:pt idx="8">
                  <c:v>173.1910662884145</c:v>
                </c:pt>
                <c:pt idx="9">
                  <c:v>182.42518887558731</c:v>
                </c:pt>
                <c:pt idx="10">
                  <c:v>191.97671920774599</c:v>
                </c:pt>
                <c:pt idx="11">
                  <c:v>201.85670588242294</c:v>
                </c:pt>
                <c:pt idx="12">
                  <c:v>212.07669134218656</c:v>
                </c:pt>
                <c:pt idx="13">
                  <c:v>222.6487397568601</c:v>
                </c:pt>
                <c:pt idx="14">
                  <c:v>233.58546681963708</c:v>
                </c:pt>
                <c:pt idx="15">
                  <c:v>244.9000716122157</c:v>
                </c:pt>
                <c:pt idx="16">
                  <c:v>256.60637070860889</c:v>
                </c:pt>
                <c:pt idx="17">
                  <c:v>268.71883470337229</c:v>
                </c:pt>
                <c:pt idx="18">
                  <c:v>267.75250125416869</c:v>
                </c:pt>
                <c:pt idx="19">
                  <c:v>280.10091257003637</c:v>
                </c:pt>
                <c:pt idx="20">
                  <c:v>292.88144322564392</c:v>
                </c:pt>
                <c:pt idx="21">
                  <c:v>306.11076084006311</c:v>
                </c:pt>
                <c:pt idx="22">
                  <c:v>319.80637164242751</c:v>
                </c:pt>
                <c:pt idx="23">
                  <c:v>333.98667390232072</c:v>
                </c:pt>
                <c:pt idx="24">
                  <c:v>348.67101550286895</c:v>
                </c:pt>
                <c:pt idx="25">
                  <c:v>363.87975603628638</c:v>
                </c:pt>
                <c:pt idx="26">
                  <c:v>379.63433384193638</c:v>
                </c:pt>
                <c:pt idx="27">
                  <c:v>395.95733845216012</c:v>
                </c:pt>
                <c:pt idx="28">
                  <c:v>412.87258896186756</c:v>
                </c:pt>
                <c:pt idx="29">
                  <c:v>430.40521889492425</c:v>
                </c:pt>
                <c:pt idx="30">
                  <c:v>448.58176820461267</c:v>
                </c:pt>
                <c:pt idx="31">
                  <c:v>467.43028311791079</c:v>
                </c:pt>
                <c:pt idx="32">
                  <c:v>486.98042461518276</c:v>
                </c:pt>
                <c:pt idx="33">
                  <c:v>507.26358642951959</c:v>
                </c:pt>
                <c:pt idx="34">
                  <c:v>528.31302355499179</c:v>
                </c:pt>
                <c:pt idx="35">
                  <c:v>550.16399237231315</c:v>
                </c:pt>
                <c:pt idx="36">
                  <c:v>572.85390363612862</c:v>
                </c:pt>
                <c:pt idx="37">
                  <c:v>596.4224897227557</c:v>
                </c:pt>
                <c:pt idx="38">
                  <c:v>620.91198771386973</c:v>
                </c:pt>
                <c:pt idx="39">
                  <c:v>627.67941689595875</c:v>
                </c:pt>
                <c:pt idx="40">
                  <c:v>634.49827853983129</c:v>
                </c:pt>
                <c:pt idx="41">
                  <c:v>641.36896353219777</c:v>
                </c:pt>
                <c:pt idx="42">
                  <c:v>648.29186573050617</c:v>
                </c:pt>
                <c:pt idx="43">
                  <c:v>655.26738198552175</c:v>
                </c:pt>
              </c:numCache>
            </c:numRef>
          </c:val>
          <c:smooth val="0"/>
          <c:extLst>
            <c:ext xmlns:c16="http://schemas.microsoft.com/office/drawing/2014/chart" uri="{C3380CC4-5D6E-409C-BE32-E72D297353CC}">
              <c16:uniqueId val="{00000005-1067-4537-ADF3-64DC13302745}"/>
            </c:ext>
          </c:extLst>
        </c:ser>
        <c:dLbls>
          <c:showLegendKey val="0"/>
          <c:showVal val="0"/>
          <c:showCatName val="0"/>
          <c:showSerName val="0"/>
          <c:showPercent val="0"/>
          <c:showBubbleSize val="0"/>
        </c:dLbls>
        <c:smooth val="0"/>
        <c:axId val="2086673775"/>
        <c:axId val="2086676271"/>
      </c:lineChart>
      <c:catAx>
        <c:axId val="20866737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676271"/>
        <c:crosses val="autoZero"/>
        <c:auto val="1"/>
        <c:lblAlgn val="ctr"/>
        <c:lblOffset val="100"/>
        <c:noMultiLvlLbl val="0"/>
      </c:catAx>
      <c:valAx>
        <c:axId val="2086676271"/>
        <c:scaling>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Volume (million m^3)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673775"/>
        <c:crosses val="autoZero"/>
        <c:crossBetween val="between"/>
      </c:valAx>
      <c:spPr>
        <a:noFill/>
        <a:ln>
          <a:noFill/>
        </a:ln>
        <a:effectLst/>
      </c:spPr>
    </c:plotArea>
    <c:legend>
      <c:legendPos val="b"/>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xdr:col>
      <xdr:colOff>179070</xdr:colOff>
      <xdr:row>16</xdr:row>
      <xdr:rowOff>38100</xdr:rowOff>
    </xdr:from>
    <xdr:to>
      <xdr:col>4</xdr:col>
      <xdr:colOff>762000</xdr:colOff>
      <xdr:row>17</xdr:row>
      <xdr:rowOff>45720</xdr:rowOff>
    </xdr:to>
    <xdr:sp macro="" textlink="">
      <xdr:nvSpPr>
        <xdr:cNvPr id="2" name="TextBox 1">
          <a:extLst>
            <a:ext uri="{FF2B5EF4-FFF2-40B4-BE49-F238E27FC236}">
              <a16:creationId xmlns:a16="http://schemas.microsoft.com/office/drawing/2014/main" id="{727B2CDA-A77D-385E-94BC-4127F24ECDF5}"/>
            </a:ext>
          </a:extLst>
        </xdr:cNvPr>
        <xdr:cNvSpPr txBox="1"/>
      </xdr:nvSpPr>
      <xdr:spPr>
        <a:xfrm>
          <a:off x="379095" y="3086100"/>
          <a:ext cx="1183005" cy="198120"/>
        </a:xfrm>
        <a:prstGeom prst="rect">
          <a:avLst/>
        </a:prstGeom>
        <a:solidFill>
          <a:srgbClr val="CC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100"/>
            <a:t>LOW Scenario</a:t>
          </a:r>
        </a:p>
      </xdr:txBody>
    </xdr:sp>
    <xdr:clientData/>
  </xdr:twoCellAnchor>
  <xdr:twoCellAnchor>
    <xdr:from>
      <xdr:col>5</xdr:col>
      <xdr:colOff>3049905</xdr:colOff>
      <xdr:row>16</xdr:row>
      <xdr:rowOff>30480</xdr:rowOff>
    </xdr:from>
    <xdr:to>
      <xdr:col>5</xdr:col>
      <xdr:colOff>4779645</xdr:colOff>
      <xdr:row>17</xdr:row>
      <xdr:rowOff>53340</xdr:rowOff>
    </xdr:to>
    <xdr:sp macro="" textlink="">
      <xdr:nvSpPr>
        <xdr:cNvPr id="10" name="TextBox 9">
          <a:extLst>
            <a:ext uri="{FF2B5EF4-FFF2-40B4-BE49-F238E27FC236}">
              <a16:creationId xmlns:a16="http://schemas.microsoft.com/office/drawing/2014/main" id="{754B8FCC-7D06-412D-A6C0-7561C4BE8FFC}"/>
            </a:ext>
          </a:extLst>
        </xdr:cNvPr>
        <xdr:cNvSpPr txBox="1"/>
      </xdr:nvSpPr>
      <xdr:spPr>
        <a:xfrm>
          <a:off x="5031105" y="3078480"/>
          <a:ext cx="1729740" cy="21336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100"/>
            <a:t>EXPECTED Scenario</a:t>
          </a:r>
        </a:p>
      </xdr:txBody>
    </xdr:sp>
    <xdr:clientData/>
  </xdr:twoCellAnchor>
  <xdr:twoCellAnchor>
    <xdr:from>
      <xdr:col>5</xdr:col>
      <xdr:colOff>7648575</xdr:colOff>
      <xdr:row>16</xdr:row>
      <xdr:rowOff>45720</xdr:rowOff>
    </xdr:from>
    <xdr:to>
      <xdr:col>5</xdr:col>
      <xdr:colOff>9126855</xdr:colOff>
      <xdr:row>17</xdr:row>
      <xdr:rowOff>60960</xdr:rowOff>
    </xdr:to>
    <xdr:sp macro="" textlink="">
      <xdr:nvSpPr>
        <xdr:cNvPr id="11" name="TextBox 10">
          <a:extLst>
            <a:ext uri="{FF2B5EF4-FFF2-40B4-BE49-F238E27FC236}">
              <a16:creationId xmlns:a16="http://schemas.microsoft.com/office/drawing/2014/main" id="{C19B9C1D-D8C1-4858-A065-0E3D49B738B1}"/>
            </a:ext>
          </a:extLst>
        </xdr:cNvPr>
        <xdr:cNvSpPr txBox="1"/>
      </xdr:nvSpPr>
      <xdr:spPr>
        <a:xfrm>
          <a:off x="9629775" y="3093720"/>
          <a:ext cx="1478280" cy="20574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100"/>
            <a:t>HIGH Scenario</a:t>
          </a:r>
        </a:p>
      </xdr:txBody>
    </xdr:sp>
    <xdr:clientData/>
  </xdr:twoCellAnchor>
  <xdr:twoCellAnchor editAs="oneCell">
    <xdr:from>
      <xdr:col>6</xdr:col>
      <xdr:colOff>333375</xdr:colOff>
      <xdr:row>2</xdr:row>
      <xdr:rowOff>0</xdr:rowOff>
    </xdr:from>
    <xdr:to>
      <xdr:col>10</xdr:col>
      <xdr:colOff>371475</xdr:colOff>
      <xdr:row>7</xdr:row>
      <xdr:rowOff>47625</xdr:rowOff>
    </xdr:to>
    <xdr:pic>
      <xdr:nvPicPr>
        <xdr:cNvPr id="12" name="Picture 11">
          <a:extLst>
            <a:ext uri="{FF2B5EF4-FFF2-40B4-BE49-F238E27FC236}">
              <a16:creationId xmlns:a16="http://schemas.microsoft.com/office/drawing/2014/main" id="{F9B1187D-58EC-4633-AF92-E9E370547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697075" y="438150"/>
          <a:ext cx="2781300" cy="962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7734300</xdr:colOff>
      <xdr:row>17</xdr:row>
      <xdr:rowOff>104775</xdr:rowOff>
    </xdr:from>
    <xdr:to>
      <xdr:col>5</xdr:col>
      <xdr:colOff>12144375</xdr:colOff>
      <xdr:row>37</xdr:row>
      <xdr:rowOff>9525</xdr:rowOff>
    </xdr:to>
    <xdr:pic>
      <xdr:nvPicPr>
        <xdr:cNvPr id="14" name="Picture 13">
          <a:extLst>
            <a:ext uri="{FF2B5EF4-FFF2-40B4-BE49-F238E27FC236}">
              <a16:creationId xmlns:a16="http://schemas.microsoft.com/office/drawing/2014/main" id="{478E5605-97DE-9971-A94A-B6D70AD4B6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15500" y="3343275"/>
          <a:ext cx="4410075" cy="3714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3124200</xdr:colOff>
      <xdr:row>17</xdr:row>
      <xdr:rowOff>104775</xdr:rowOff>
    </xdr:from>
    <xdr:to>
      <xdr:col>5</xdr:col>
      <xdr:colOff>7534275</xdr:colOff>
      <xdr:row>37</xdr:row>
      <xdr:rowOff>9525</xdr:rowOff>
    </xdr:to>
    <xdr:pic>
      <xdr:nvPicPr>
        <xdr:cNvPr id="17" name="Picture 16">
          <a:extLst>
            <a:ext uri="{FF2B5EF4-FFF2-40B4-BE49-F238E27FC236}">
              <a16:creationId xmlns:a16="http://schemas.microsoft.com/office/drawing/2014/main" id="{F7C275C6-CE86-F3BC-2DD1-D68B81E8F27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105400" y="3343275"/>
          <a:ext cx="4410075" cy="3714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28575</xdr:colOff>
      <xdr:row>17</xdr:row>
      <xdr:rowOff>104775</xdr:rowOff>
    </xdr:from>
    <xdr:to>
      <xdr:col>5</xdr:col>
      <xdr:colOff>2857500</xdr:colOff>
      <xdr:row>37</xdr:row>
      <xdr:rowOff>9525</xdr:rowOff>
    </xdr:to>
    <xdr:pic>
      <xdr:nvPicPr>
        <xdr:cNvPr id="18" name="Picture 17">
          <a:extLst>
            <a:ext uri="{FF2B5EF4-FFF2-40B4-BE49-F238E27FC236}">
              <a16:creationId xmlns:a16="http://schemas.microsoft.com/office/drawing/2014/main" id="{B334995A-D81F-E5DC-6DA7-1B362720FE5B}"/>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28625" y="3343275"/>
          <a:ext cx="4410075" cy="3714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293033</xdr:colOff>
      <xdr:row>76</xdr:row>
      <xdr:rowOff>9525</xdr:rowOff>
    </xdr:from>
    <xdr:to>
      <xdr:col>9</xdr:col>
      <xdr:colOff>698033</xdr:colOff>
      <xdr:row>96</xdr:row>
      <xdr:rowOff>98025</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257175</xdr:colOff>
      <xdr:row>4</xdr:row>
      <xdr:rowOff>123825</xdr:rowOff>
    </xdr:from>
    <xdr:to>
      <xdr:col>9</xdr:col>
      <xdr:colOff>662175</xdr:colOff>
      <xdr:row>24</xdr:row>
      <xdr:rowOff>145650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200024</xdr:colOff>
      <xdr:row>2</xdr:row>
      <xdr:rowOff>66675</xdr:rowOff>
    </xdr:from>
    <xdr:to>
      <xdr:col>2</xdr:col>
      <xdr:colOff>1599974</xdr:colOff>
      <xdr:row>2</xdr:row>
      <xdr:rowOff>457200</xdr:rowOff>
    </xdr:to>
    <xdr:sp macro="[0]!Low" textlink="">
      <xdr:nvSpPr>
        <xdr:cNvPr id="6439" name="Rectangle: Rounded Corners 1">
          <a:extLst>
            <a:ext uri="{FF2B5EF4-FFF2-40B4-BE49-F238E27FC236}">
              <a16:creationId xmlns:a16="http://schemas.microsoft.com/office/drawing/2014/main" id="{671A8791-B177-9067-2A51-4736CF3AEB34}"/>
            </a:ext>
          </a:extLst>
        </xdr:cNvPr>
        <xdr:cNvSpPr/>
      </xdr:nvSpPr>
      <xdr:spPr>
        <a:xfrm>
          <a:off x="200024" y="514350"/>
          <a:ext cx="1800000" cy="390525"/>
        </a:xfrm>
        <a:prstGeom prst="round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SG" sz="1100" b="1">
              <a:solidFill>
                <a:schemeClr val="bg1"/>
              </a:solidFill>
            </a:rPr>
            <a:t>Low Scenario</a:t>
          </a:r>
        </a:p>
      </xdr:txBody>
    </xdr:sp>
    <xdr:clientData/>
  </xdr:twoCellAnchor>
  <xdr:twoCellAnchor>
    <xdr:from>
      <xdr:col>3</xdr:col>
      <xdr:colOff>1619249</xdr:colOff>
      <xdr:row>2</xdr:row>
      <xdr:rowOff>66675</xdr:rowOff>
    </xdr:from>
    <xdr:to>
      <xdr:col>7</xdr:col>
      <xdr:colOff>18824</xdr:colOff>
      <xdr:row>2</xdr:row>
      <xdr:rowOff>457200</xdr:rowOff>
    </xdr:to>
    <xdr:sp macro="[0]!High" textlink="">
      <xdr:nvSpPr>
        <xdr:cNvPr id="6440" name="Rectangle: Rounded Corners 11">
          <a:extLst>
            <a:ext uri="{FF2B5EF4-FFF2-40B4-BE49-F238E27FC236}">
              <a16:creationId xmlns:a16="http://schemas.microsoft.com/office/drawing/2014/main" id="{709B36D6-1AD4-6AB1-90A5-CC837BD30B8A}"/>
            </a:ext>
          </a:extLst>
        </xdr:cNvPr>
        <xdr:cNvSpPr/>
      </xdr:nvSpPr>
      <xdr:spPr>
        <a:xfrm>
          <a:off x="4371974" y="514350"/>
          <a:ext cx="1800000" cy="390525"/>
        </a:xfrm>
        <a:prstGeom prst="roundRect">
          <a:avLst/>
        </a:prstGeom>
        <a:solidFill>
          <a:schemeClr val="tx2">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SG" sz="1100" b="1">
              <a:solidFill>
                <a:schemeClr val="bg1"/>
              </a:solidFill>
            </a:rPr>
            <a:t>High Scenario</a:t>
          </a:r>
        </a:p>
      </xdr:txBody>
    </xdr:sp>
    <xdr:clientData/>
  </xdr:twoCellAnchor>
  <xdr:twoCellAnchor>
    <xdr:from>
      <xdr:col>2</xdr:col>
      <xdr:colOff>1876424</xdr:colOff>
      <xdr:row>2</xdr:row>
      <xdr:rowOff>66675</xdr:rowOff>
    </xdr:from>
    <xdr:to>
      <xdr:col>3</xdr:col>
      <xdr:colOff>1323749</xdr:colOff>
      <xdr:row>2</xdr:row>
      <xdr:rowOff>457200</xdr:rowOff>
    </xdr:to>
    <xdr:sp macro="[0]!Expected" textlink="">
      <xdr:nvSpPr>
        <xdr:cNvPr id="6430" name="Rectangle: Rounded Corners 12">
          <a:extLst>
            <a:ext uri="{FF2B5EF4-FFF2-40B4-BE49-F238E27FC236}">
              <a16:creationId xmlns:a16="http://schemas.microsoft.com/office/drawing/2014/main" id="{D9332491-A1FB-483A-A75C-14828838B15F}"/>
            </a:ext>
          </a:extLst>
        </xdr:cNvPr>
        <xdr:cNvSpPr/>
      </xdr:nvSpPr>
      <xdr:spPr>
        <a:xfrm>
          <a:off x="2276474" y="514350"/>
          <a:ext cx="1800000" cy="390525"/>
        </a:xfrm>
        <a:prstGeom prst="roundRect">
          <a:avLst/>
        </a:prstGeom>
        <a:solidFill>
          <a:schemeClr val="tx2">
            <a:lumMod val="10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SG" sz="1100" b="1">
              <a:solidFill>
                <a:schemeClr val="bg1"/>
              </a:solidFill>
            </a:rPr>
            <a:t>Expected</a:t>
          </a:r>
          <a:r>
            <a:rPr lang="en-SG" sz="1100" b="1" baseline="0">
              <a:solidFill>
                <a:schemeClr val="bg1"/>
              </a:solidFill>
            </a:rPr>
            <a:t> </a:t>
          </a:r>
          <a:r>
            <a:rPr lang="en-SG" sz="1100" b="1">
              <a:solidFill>
                <a:schemeClr val="bg1"/>
              </a:solidFill>
            </a:rPr>
            <a:t>Scenario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466725</xdr:colOff>
      <xdr:row>4</xdr:row>
      <xdr:rowOff>1</xdr:rowOff>
    </xdr:from>
    <xdr:to>
      <xdr:col>12</xdr:col>
      <xdr:colOff>461963</xdr:colOff>
      <xdr:row>24</xdr:row>
      <xdr:rowOff>1</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68355</xdr:colOff>
      <xdr:row>4</xdr:row>
      <xdr:rowOff>1</xdr:rowOff>
    </xdr:from>
    <xdr:to>
      <xdr:col>8</xdr:col>
      <xdr:colOff>68355</xdr:colOff>
      <xdr:row>24</xdr:row>
      <xdr:rowOff>1</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0</xdr:colOff>
      <xdr:row>10</xdr:row>
      <xdr:rowOff>0</xdr:rowOff>
    </xdr:from>
    <xdr:to>
      <xdr:col>12</xdr:col>
      <xdr:colOff>304800</xdr:colOff>
      <xdr:row>11</xdr:row>
      <xdr:rowOff>114300</xdr:rowOff>
    </xdr:to>
    <xdr:sp macro="" textlink="">
      <xdr:nvSpPr>
        <xdr:cNvPr id="2092" name="avatar">
          <a:extLst>
            <a:ext uri="{FF2B5EF4-FFF2-40B4-BE49-F238E27FC236}">
              <a16:creationId xmlns:a16="http://schemas.microsoft.com/office/drawing/2014/main" id="{00000000-0008-0000-0700-00002C080000}"/>
            </a:ext>
          </a:extLst>
        </xdr:cNvPr>
        <xdr:cNvSpPr>
          <a:spLocks noChangeAspect="1" noChangeArrowheads="1"/>
        </xdr:cNvSpPr>
      </xdr:nvSpPr>
      <xdr:spPr bwMode="auto">
        <a:xfrm>
          <a:off x="1553527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0</xdr:colOff>
      <xdr:row>24</xdr:row>
      <xdr:rowOff>0</xdr:rowOff>
    </xdr:from>
    <xdr:to>
      <xdr:col>12</xdr:col>
      <xdr:colOff>304800</xdr:colOff>
      <xdr:row>25</xdr:row>
      <xdr:rowOff>108585</xdr:rowOff>
    </xdr:to>
    <xdr:sp macro="" textlink="">
      <xdr:nvSpPr>
        <xdr:cNvPr id="2" name="avatar">
          <a:extLst>
            <a:ext uri="{FF2B5EF4-FFF2-40B4-BE49-F238E27FC236}">
              <a16:creationId xmlns:a16="http://schemas.microsoft.com/office/drawing/2014/main" id="{FDA3A5DF-D613-4658-A990-9EEB4AB5F3D1}"/>
            </a:ext>
          </a:extLst>
        </xdr:cNvPr>
        <xdr:cNvSpPr>
          <a:spLocks noChangeAspect="1" noChangeArrowheads="1"/>
        </xdr:cNvSpPr>
      </xdr:nvSpPr>
      <xdr:spPr bwMode="auto">
        <a:xfrm>
          <a:off x="12519660" y="4312920"/>
          <a:ext cx="304800" cy="2895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857251</xdr:colOff>
      <xdr:row>2</xdr:row>
      <xdr:rowOff>156209</xdr:rowOff>
    </xdr:from>
    <xdr:to>
      <xdr:col>8</xdr:col>
      <xdr:colOff>507826</xdr:colOff>
      <xdr:row>22</xdr:row>
      <xdr:rowOff>69059</xdr:rowOff>
    </xdr:to>
    <xdr:graphicFrame macro="">
      <xdr:nvGraphicFramePr>
        <xdr:cNvPr id="3" name="Chart 2">
          <a:extLst>
            <a:ext uri="{FF2B5EF4-FFF2-40B4-BE49-F238E27FC236}">
              <a16:creationId xmlns:a16="http://schemas.microsoft.com/office/drawing/2014/main" id="{B312DD8D-F9B1-494F-B10D-ED4EB70CF6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823858</xdr:colOff>
      <xdr:row>2</xdr:row>
      <xdr:rowOff>156209</xdr:rowOff>
    </xdr:from>
    <xdr:to>
      <xdr:col>12</xdr:col>
      <xdr:colOff>483958</xdr:colOff>
      <xdr:row>22</xdr:row>
      <xdr:rowOff>69059</xdr:rowOff>
    </xdr:to>
    <xdr:graphicFrame macro="">
      <xdr:nvGraphicFramePr>
        <xdr:cNvPr id="4" name="Chart 3">
          <a:extLst>
            <a:ext uri="{FF2B5EF4-FFF2-40B4-BE49-F238E27FC236}">
              <a16:creationId xmlns:a16="http://schemas.microsoft.com/office/drawing/2014/main" id="{A2EDF078-3029-484D-B378-2AC9698F23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632461</xdr:colOff>
      <xdr:row>7</xdr:row>
      <xdr:rowOff>47625</xdr:rowOff>
    </xdr:from>
    <xdr:to>
      <xdr:col>7</xdr:col>
      <xdr:colOff>1581151</xdr:colOff>
      <xdr:row>8</xdr:row>
      <xdr:rowOff>104775</xdr:rowOff>
    </xdr:to>
    <xdr:sp macro="" textlink="">
      <xdr:nvSpPr>
        <xdr:cNvPr id="5" name="TextBox 4">
          <a:extLst>
            <a:ext uri="{FF2B5EF4-FFF2-40B4-BE49-F238E27FC236}">
              <a16:creationId xmlns:a16="http://schemas.microsoft.com/office/drawing/2014/main" id="{65708614-8F89-4086-84BC-D975EA95B43A}"/>
            </a:ext>
          </a:extLst>
        </xdr:cNvPr>
        <xdr:cNvSpPr txBox="1"/>
      </xdr:nvSpPr>
      <xdr:spPr>
        <a:xfrm>
          <a:off x="11100436" y="1409700"/>
          <a:ext cx="94869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1000"/>
            <a:t>Target</a:t>
          </a:r>
          <a:r>
            <a:rPr lang="en-SG" sz="1000" baseline="0"/>
            <a:t> +10%</a:t>
          </a:r>
          <a:endParaRPr lang="en-SG" sz="1050"/>
        </a:p>
      </xdr:txBody>
    </xdr:sp>
    <xdr:clientData/>
  </xdr:twoCellAnchor>
  <xdr:twoCellAnchor>
    <xdr:from>
      <xdr:col>7</xdr:col>
      <xdr:colOff>622936</xdr:colOff>
      <xdr:row>11</xdr:row>
      <xdr:rowOff>104775</xdr:rowOff>
    </xdr:from>
    <xdr:to>
      <xdr:col>7</xdr:col>
      <xdr:colOff>1571626</xdr:colOff>
      <xdr:row>12</xdr:row>
      <xdr:rowOff>40005</xdr:rowOff>
    </xdr:to>
    <xdr:sp macro="" textlink="">
      <xdr:nvSpPr>
        <xdr:cNvPr id="6" name="TextBox 5">
          <a:extLst>
            <a:ext uri="{FF2B5EF4-FFF2-40B4-BE49-F238E27FC236}">
              <a16:creationId xmlns:a16="http://schemas.microsoft.com/office/drawing/2014/main" id="{A3F87EE1-3B91-47A9-991D-10DE59A6A7D0}"/>
            </a:ext>
          </a:extLst>
        </xdr:cNvPr>
        <xdr:cNvSpPr txBox="1"/>
      </xdr:nvSpPr>
      <xdr:spPr>
        <a:xfrm>
          <a:off x="11090911" y="2209800"/>
          <a:ext cx="94869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1000"/>
            <a:t>Target</a:t>
          </a:r>
          <a:r>
            <a:rPr lang="en-SG" sz="1000" baseline="0"/>
            <a:t> -10%</a:t>
          </a:r>
          <a:endParaRPr lang="en-SG" sz="1050"/>
        </a:p>
      </xdr:txBody>
    </xdr:sp>
    <xdr:clientData/>
  </xdr:twoCellAnchor>
  <xdr:twoCellAnchor>
    <xdr:from>
      <xdr:col>11</xdr:col>
      <xdr:colOff>979731</xdr:colOff>
      <xdr:row>4</xdr:row>
      <xdr:rowOff>135255</xdr:rowOff>
    </xdr:from>
    <xdr:to>
      <xdr:col>12</xdr:col>
      <xdr:colOff>200026</xdr:colOff>
      <xdr:row>6</xdr:row>
      <xdr:rowOff>26894</xdr:rowOff>
    </xdr:to>
    <xdr:sp macro="" textlink="">
      <xdr:nvSpPr>
        <xdr:cNvPr id="7" name="TextBox 6">
          <a:extLst>
            <a:ext uri="{FF2B5EF4-FFF2-40B4-BE49-F238E27FC236}">
              <a16:creationId xmlns:a16="http://schemas.microsoft.com/office/drawing/2014/main" id="{FE8D554B-B14F-436D-A29A-99B45B47DFE3}"/>
            </a:ext>
          </a:extLst>
        </xdr:cNvPr>
        <xdr:cNvSpPr txBox="1"/>
      </xdr:nvSpPr>
      <xdr:spPr>
        <a:xfrm>
          <a:off x="18267606" y="944880"/>
          <a:ext cx="925270" cy="263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1000"/>
            <a:t>Target</a:t>
          </a:r>
          <a:r>
            <a:rPr lang="en-SG" sz="1000" baseline="0"/>
            <a:t> +10%</a:t>
          </a:r>
          <a:endParaRPr lang="en-SG" sz="1050"/>
        </a:p>
      </xdr:txBody>
    </xdr:sp>
    <xdr:clientData/>
  </xdr:twoCellAnchor>
  <xdr:twoCellAnchor>
    <xdr:from>
      <xdr:col>11</xdr:col>
      <xdr:colOff>953397</xdr:colOff>
      <xdr:row>9</xdr:row>
      <xdr:rowOff>174027</xdr:rowOff>
    </xdr:from>
    <xdr:to>
      <xdr:col>12</xdr:col>
      <xdr:colOff>190500</xdr:colOff>
      <xdr:row>11</xdr:row>
      <xdr:rowOff>71157</xdr:rowOff>
    </xdr:to>
    <xdr:sp macro="" textlink="">
      <xdr:nvSpPr>
        <xdr:cNvPr id="8" name="TextBox 7">
          <a:extLst>
            <a:ext uri="{FF2B5EF4-FFF2-40B4-BE49-F238E27FC236}">
              <a16:creationId xmlns:a16="http://schemas.microsoft.com/office/drawing/2014/main" id="{FD2D6D73-61BF-405F-8486-7947DA298F08}"/>
            </a:ext>
          </a:extLst>
        </xdr:cNvPr>
        <xdr:cNvSpPr txBox="1"/>
      </xdr:nvSpPr>
      <xdr:spPr>
        <a:xfrm>
          <a:off x="18241272" y="1917102"/>
          <a:ext cx="942078"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1000"/>
            <a:t>Target</a:t>
          </a:r>
          <a:r>
            <a:rPr lang="en-SG" sz="1000" baseline="0"/>
            <a:t> -10%</a:t>
          </a:r>
          <a:endParaRPr lang="en-SG" sz="105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11</xdr:col>
      <xdr:colOff>0</xdr:colOff>
      <xdr:row>24</xdr:row>
      <xdr:rowOff>0</xdr:rowOff>
    </xdr:from>
    <xdr:to>
      <xdr:col>11</xdr:col>
      <xdr:colOff>304800</xdr:colOff>
      <xdr:row>25</xdr:row>
      <xdr:rowOff>104140</xdr:rowOff>
    </xdr:to>
    <xdr:sp macro="" textlink="">
      <xdr:nvSpPr>
        <xdr:cNvPr id="2" name="avatar">
          <a:extLst>
            <a:ext uri="{FF2B5EF4-FFF2-40B4-BE49-F238E27FC236}">
              <a16:creationId xmlns:a16="http://schemas.microsoft.com/office/drawing/2014/main" id="{3F0CA46B-7309-418C-BB70-8D8A4B2C97E9}"/>
            </a:ext>
          </a:extLst>
        </xdr:cNvPr>
        <xdr:cNvSpPr>
          <a:spLocks noChangeAspect="1" noChangeArrowheads="1"/>
        </xdr:cNvSpPr>
      </xdr:nvSpPr>
      <xdr:spPr bwMode="auto">
        <a:xfrm>
          <a:off x="11399520" y="4312920"/>
          <a:ext cx="304800" cy="2895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786763</xdr:colOff>
      <xdr:row>2</xdr:row>
      <xdr:rowOff>123824</xdr:rowOff>
    </xdr:from>
    <xdr:to>
      <xdr:col>8</xdr:col>
      <xdr:colOff>408763</xdr:colOff>
      <xdr:row>22</xdr:row>
      <xdr:rowOff>82199</xdr:rowOff>
    </xdr:to>
    <xdr:graphicFrame macro="">
      <xdr:nvGraphicFramePr>
        <xdr:cNvPr id="7" name="Chart 2">
          <a:extLst>
            <a:ext uri="{FF2B5EF4-FFF2-40B4-BE49-F238E27FC236}">
              <a16:creationId xmlns:a16="http://schemas.microsoft.com/office/drawing/2014/main" id="{96E8A20B-3341-493D-86BF-004FFC230C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707299</xdr:colOff>
      <xdr:row>2</xdr:row>
      <xdr:rowOff>81914</xdr:rowOff>
    </xdr:from>
    <xdr:to>
      <xdr:col>12</xdr:col>
      <xdr:colOff>329299</xdr:colOff>
      <xdr:row>22</xdr:row>
      <xdr:rowOff>40289</xdr:rowOff>
    </xdr:to>
    <xdr:graphicFrame macro="">
      <xdr:nvGraphicFramePr>
        <xdr:cNvPr id="4" name="Chart 3">
          <a:extLst>
            <a:ext uri="{FF2B5EF4-FFF2-40B4-BE49-F238E27FC236}">
              <a16:creationId xmlns:a16="http://schemas.microsoft.com/office/drawing/2014/main" id="{76C4405A-19B1-4369-A010-983CAB0279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0.63811</cdr:x>
      <cdr:y>0.26797</cdr:y>
    </cdr:from>
    <cdr:to>
      <cdr:x>0.81427</cdr:x>
      <cdr:y>0.32548</cdr:y>
    </cdr:to>
    <cdr:sp macro="" textlink="">
      <cdr:nvSpPr>
        <cdr:cNvPr id="2" name="TextBox 1">
          <a:extLst xmlns:a="http://schemas.openxmlformats.org/drawingml/2006/main">
            <a:ext uri="{FF2B5EF4-FFF2-40B4-BE49-F238E27FC236}">
              <a16:creationId xmlns:a16="http://schemas.microsoft.com/office/drawing/2014/main" id="{1CC88B10-B205-AFAB-DDF7-3BDED78184F5}"/>
            </a:ext>
          </a:extLst>
        </cdr:cNvPr>
        <cdr:cNvSpPr txBox="1"/>
      </cdr:nvSpPr>
      <cdr:spPr>
        <a:xfrm xmlns:a="http://schemas.openxmlformats.org/drawingml/2006/main">
          <a:off x="3847147" y="1042988"/>
          <a:ext cx="1062038" cy="22383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SG" sz="1000"/>
            <a:t>High Rainfall</a:t>
          </a:r>
        </a:p>
      </cdr:txBody>
    </cdr:sp>
  </cdr:relSizeAnchor>
  <cdr:relSizeAnchor xmlns:cdr="http://schemas.openxmlformats.org/drawingml/2006/chartDrawing">
    <cdr:from>
      <cdr:x>0.65855</cdr:x>
      <cdr:y>0.43764</cdr:y>
    </cdr:from>
    <cdr:to>
      <cdr:x>0.8347</cdr:x>
      <cdr:y>0.49515</cdr:y>
    </cdr:to>
    <cdr:sp macro="" textlink="">
      <cdr:nvSpPr>
        <cdr:cNvPr id="3" name="TextBox 1">
          <a:extLst xmlns:a="http://schemas.openxmlformats.org/drawingml/2006/main">
            <a:ext uri="{FF2B5EF4-FFF2-40B4-BE49-F238E27FC236}">
              <a16:creationId xmlns:a16="http://schemas.microsoft.com/office/drawing/2014/main" id="{5068D480-5CAB-5488-E59B-26B21B96FD45}"/>
            </a:ext>
          </a:extLst>
        </cdr:cNvPr>
        <cdr:cNvSpPr txBox="1"/>
      </cdr:nvSpPr>
      <cdr:spPr>
        <a:xfrm xmlns:a="http://schemas.openxmlformats.org/drawingml/2006/main">
          <a:off x="3970338" y="1703388"/>
          <a:ext cx="1062038" cy="22383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SG" sz="1000"/>
            <a:t>Low Rainfall</a:t>
          </a: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10</xdr:col>
      <xdr:colOff>0</xdr:colOff>
      <xdr:row>24</xdr:row>
      <xdr:rowOff>0</xdr:rowOff>
    </xdr:from>
    <xdr:to>
      <xdr:col>10</xdr:col>
      <xdr:colOff>304800</xdr:colOff>
      <xdr:row>25</xdr:row>
      <xdr:rowOff>110490</xdr:rowOff>
    </xdr:to>
    <xdr:sp macro="" textlink="">
      <xdr:nvSpPr>
        <xdr:cNvPr id="2" name="avatar">
          <a:extLst>
            <a:ext uri="{FF2B5EF4-FFF2-40B4-BE49-F238E27FC236}">
              <a16:creationId xmlns:a16="http://schemas.microsoft.com/office/drawing/2014/main" id="{9D2335EC-3BC8-4692-B55F-E05F92C77335}"/>
            </a:ext>
          </a:extLst>
        </xdr:cNvPr>
        <xdr:cNvSpPr>
          <a:spLocks noChangeAspect="1" noChangeArrowheads="1"/>
        </xdr:cNvSpPr>
      </xdr:nvSpPr>
      <xdr:spPr bwMode="auto">
        <a:xfrm>
          <a:off x="12519660" y="4838700"/>
          <a:ext cx="304800" cy="2895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8</xdr:col>
      <xdr:colOff>653414</xdr:colOff>
      <xdr:row>2</xdr:row>
      <xdr:rowOff>99059</xdr:rowOff>
    </xdr:from>
    <xdr:to>
      <xdr:col>12</xdr:col>
      <xdr:colOff>275414</xdr:colOff>
      <xdr:row>22</xdr:row>
      <xdr:rowOff>57434</xdr:rowOff>
    </xdr:to>
    <xdr:graphicFrame macro="">
      <xdr:nvGraphicFramePr>
        <xdr:cNvPr id="7" name="Chart 2">
          <a:extLst>
            <a:ext uri="{FF2B5EF4-FFF2-40B4-BE49-F238E27FC236}">
              <a16:creationId xmlns:a16="http://schemas.microsoft.com/office/drawing/2014/main" id="{652047B2-63AD-4ACC-B6BB-E55E3297A9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724989</xdr:colOff>
      <xdr:row>2</xdr:row>
      <xdr:rowOff>94705</xdr:rowOff>
    </xdr:from>
    <xdr:to>
      <xdr:col>8</xdr:col>
      <xdr:colOff>346989</xdr:colOff>
      <xdr:row>22</xdr:row>
      <xdr:rowOff>53080</xdr:rowOff>
    </xdr:to>
    <xdr:graphicFrame macro="">
      <xdr:nvGraphicFramePr>
        <xdr:cNvPr id="6" name="Chart 3">
          <a:extLst>
            <a:ext uri="{FF2B5EF4-FFF2-40B4-BE49-F238E27FC236}">
              <a16:creationId xmlns:a16="http://schemas.microsoft.com/office/drawing/2014/main" id="{E8E4FE7A-69B2-4BC2-8741-6877135BBC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LIN Shuyan" id="{219BF8D7-A18F-4619-84E3-D18DDE2CD25F}" userId="LIN Shuyan" providerId="None"/>
</personList>
</file>

<file path=xl/theme/theme1.xml><?xml version="1.0" encoding="utf-8"?>
<a:theme xmlns:a="http://schemas.openxmlformats.org/drawingml/2006/main" name="Office Theme">
  <a:themeElements>
    <a:clrScheme name="Bright">
      <a:dk1>
        <a:sysClr val="windowText" lastClr="000000"/>
      </a:dk1>
      <a:lt1>
        <a:sysClr val="window" lastClr="FFFFFF"/>
      </a:lt1>
      <a:dk2>
        <a:srgbClr val="344068"/>
      </a:dk2>
      <a:lt2>
        <a:srgbClr val="D9E0E6"/>
      </a:lt2>
      <a:accent1>
        <a:srgbClr val="6BB2F1"/>
      </a:accent1>
      <a:accent2>
        <a:srgbClr val="87CEFB"/>
      </a:accent2>
      <a:accent3>
        <a:srgbClr val="FEF65C"/>
      </a:accent3>
      <a:accent4>
        <a:srgbClr val="FFD301"/>
      </a:accent4>
      <a:accent5>
        <a:srgbClr val="F5BD1F"/>
      </a:accent5>
      <a:accent6>
        <a:srgbClr val="FF7800"/>
      </a:accent6>
      <a:hlink>
        <a:srgbClr val="62A39F"/>
      </a:hlink>
      <a:folHlink>
        <a:srgbClr val="B26B0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0" dT="2022-05-27T07:49:50.89" personId="{219BF8D7-A18F-4619-84E3-D18DDE2CD25F}" id="{C4A73160-8240-4C3F-ACBF-6725FD451DB0}">
    <text>Assumes that there is no further increase in land area. Unknown if the catchment area target included land area increase.</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8A17B-5BAE-4D11-96FD-95CBD9BD39EF}">
  <sheetPr codeName="Sheet3">
    <tabColor theme="6"/>
  </sheetPr>
  <dimension ref="B1:K134"/>
  <sheetViews>
    <sheetView showGridLines="0" topLeftCell="A13" zoomScaleNormal="100" workbookViewId="0">
      <selection activeCell="F63" sqref="F63"/>
    </sheetView>
  </sheetViews>
  <sheetFormatPr defaultRowHeight="13.8"/>
  <cols>
    <col min="1" max="4" width="2.59765625" customWidth="1"/>
    <col min="5" max="5" width="15.5" customWidth="1"/>
    <col min="6" max="6" width="182.09765625" customWidth="1"/>
  </cols>
  <sheetData>
    <row r="1" spans="2:11" ht="21">
      <c r="B1" s="8" t="s">
        <v>222</v>
      </c>
      <c r="C1" s="8"/>
      <c r="D1" s="8"/>
      <c r="E1" s="8"/>
      <c r="F1" s="8"/>
    </row>
    <row r="3" spans="2:11">
      <c r="B3" s="23"/>
      <c r="C3" s="23"/>
      <c r="D3" s="23"/>
      <c r="E3" s="23"/>
      <c r="F3" s="23"/>
    </row>
    <row r="4" spans="2:11">
      <c r="B4" s="23"/>
      <c r="C4" s="122" t="s">
        <v>0</v>
      </c>
      <c r="D4" s="122"/>
      <c r="E4" s="122"/>
      <c r="F4" s="23"/>
      <c r="K4" s="128"/>
    </row>
    <row r="5" spans="2:11">
      <c r="B5" s="23"/>
      <c r="C5" s="23"/>
      <c r="D5" s="23"/>
      <c r="E5" s="23"/>
      <c r="F5" s="23"/>
    </row>
    <row r="6" spans="2:11">
      <c r="B6" s="23"/>
      <c r="C6" s="23"/>
      <c r="D6" s="23" t="s">
        <v>233</v>
      </c>
      <c r="E6" s="23"/>
      <c r="F6" s="23"/>
    </row>
    <row r="7" spans="2:11">
      <c r="B7" s="23"/>
      <c r="C7" s="23"/>
      <c r="D7" s="23"/>
      <c r="E7" s="23"/>
      <c r="F7" s="23"/>
    </row>
    <row r="8" spans="2:11">
      <c r="B8" s="23"/>
      <c r="C8" s="23"/>
      <c r="D8" s="38" t="s">
        <v>1</v>
      </c>
      <c r="E8" s="23"/>
      <c r="F8" s="23"/>
    </row>
    <row r="9" spans="2:11">
      <c r="B9" s="23"/>
      <c r="C9" s="23"/>
      <c r="D9" s="23"/>
      <c r="E9" s="23" t="s">
        <v>223</v>
      </c>
      <c r="F9" s="23"/>
    </row>
    <row r="10" spans="2:11">
      <c r="B10" s="23"/>
      <c r="C10" s="23"/>
      <c r="D10" s="23"/>
      <c r="E10" s="23" t="s">
        <v>226</v>
      </c>
      <c r="F10" s="23"/>
    </row>
    <row r="11" spans="2:11">
      <c r="B11" s="23"/>
      <c r="C11" s="23"/>
      <c r="D11" s="38"/>
      <c r="E11" s="23" t="s">
        <v>224</v>
      </c>
      <c r="F11" s="23"/>
    </row>
    <row r="12" spans="2:11">
      <c r="B12" s="23"/>
      <c r="C12" s="23"/>
      <c r="D12" s="38"/>
      <c r="E12" s="23" t="s">
        <v>225</v>
      </c>
      <c r="F12" s="23"/>
    </row>
    <row r="13" spans="2:11">
      <c r="B13" s="23"/>
      <c r="C13" s="23"/>
      <c r="D13" s="38"/>
      <c r="E13" s="23"/>
      <c r="F13" s="23"/>
    </row>
    <row r="14" spans="2:11">
      <c r="B14" s="23"/>
      <c r="C14" s="23"/>
      <c r="D14" s="38"/>
      <c r="E14" s="23" t="s">
        <v>229</v>
      </c>
      <c r="F14" s="23"/>
    </row>
    <row r="15" spans="2:11">
      <c r="B15" s="23"/>
      <c r="C15" s="23"/>
      <c r="D15" s="38"/>
      <c r="E15" s="23" t="s">
        <v>230</v>
      </c>
      <c r="F15" s="23"/>
    </row>
    <row r="16" spans="2:11">
      <c r="B16" s="23"/>
      <c r="C16" s="23"/>
      <c r="D16" s="38"/>
      <c r="E16" s="23"/>
      <c r="F16" s="23"/>
    </row>
    <row r="17" spans="2:6">
      <c r="B17" s="23"/>
      <c r="C17" s="23"/>
      <c r="D17" s="38"/>
      <c r="E17" s="23"/>
      <c r="F17" s="23"/>
    </row>
    <row r="18" spans="2:6">
      <c r="B18" s="23"/>
      <c r="C18" s="23"/>
      <c r="D18" s="38"/>
      <c r="E18" s="23"/>
      <c r="F18" s="23"/>
    </row>
    <row r="19" spans="2:6">
      <c r="B19" s="23"/>
      <c r="C19" s="23"/>
      <c r="D19" s="38"/>
      <c r="E19" s="23"/>
      <c r="F19" s="23"/>
    </row>
    <row r="20" spans="2:6">
      <c r="B20" s="23"/>
      <c r="C20" s="23"/>
      <c r="D20" s="38"/>
      <c r="E20" s="23"/>
      <c r="F20" s="23"/>
    </row>
    <row r="21" spans="2:6">
      <c r="B21" s="23"/>
      <c r="C21" s="23"/>
      <c r="D21" s="38"/>
      <c r="E21" s="23"/>
      <c r="F21" s="23"/>
    </row>
    <row r="22" spans="2:6">
      <c r="B22" s="23"/>
      <c r="C22" s="23"/>
      <c r="D22" s="38"/>
      <c r="E22" s="23"/>
      <c r="F22" s="23"/>
    </row>
    <row r="23" spans="2:6">
      <c r="B23" s="23"/>
      <c r="C23" s="23"/>
      <c r="D23" s="38"/>
      <c r="E23" s="23"/>
      <c r="F23" s="23"/>
    </row>
    <row r="24" spans="2:6">
      <c r="B24" s="23"/>
      <c r="C24" s="23"/>
      <c r="D24" s="38"/>
      <c r="E24" s="23"/>
      <c r="F24" s="23"/>
    </row>
    <row r="25" spans="2:6">
      <c r="B25" s="23"/>
      <c r="C25" s="23"/>
      <c r="D25" s="38"/>
      <c r="E25" s="23"/>
      <c r="F25" s="23"/>
    </row>
    <row r="26" spans="2:6">
      <c r="B26" s="23"/>
      <c r="C26" s="23"/>
      <c r="D26" s="38"/>
      <c r="E26" s="23"/>
      <c r="F26" s="23"/>
    </row>
    <row r="27" spans="2:6">
      <c r="B27" s="23"/>
      <c r="C27" s="23"/>
      <c r="D27" s="38"/>
      <c r="E27" s="23"/>
      <c r="F27" s="23"/>
    </row>
    <row r="28" spans="2:6">
      <c r="B28" s="23"/>
      <c r="C28" s="23"/>
      <c r="D28" s="38"/>
      <c r="E28" s="23"/>
      <c r="F28" s="23"/>
    </row>
    <row r="29" spans="2:6">
      <c r="B29" s="23"/>
      <c r="C29" s="23"/>
      <c r="D29" s="38"/>
      <c r="E29" s="23"/>
      <c r="F29" s="23"/>
    </row>
    <row r="30" spans="2:6">
      <c r="B30" s="23"/>
      <c r="C30" s="23"/>
      <c r="D30" s="38"/>
      <c r="E30" s="23"/>
      <c r="F30" s="23"/>
    </row>
    <row r="31" spans="2:6">
      <c r="B31" s="23"/>
      <c r="C31" s="23"/>
      <c r="D31" s="38"/>
      <c r="E31" s="23"/>
      <c r="F31" s="23"/>
    </row>
    <row r="32" spans="2:6">
      <c r="B32" s="23"/>
      <c r="C32" s="23"/>
      <c r="D32" s="38"/>
      <c r="E32" s="23"/>
      <c r="F32" s="23"/>
    </row>
    <row r="33" spans="2:6">
      <c r="B33" s="23"/>
      <c r="C33" s="23"/>
      <c r="D33" s="38"/>
      <c r="E33" s="23"/>
      <c r="F33" s="23"/>
    </row>
    <row r="34" spans="2:6">
      <c r="B34" s="23"/>
      <c r="C34" s="23"/>
      <c r="D34" s="38"/>
      <c r="E34" s="23"/>
      <c r="F34" s="23"/>
    </row>
    <row r="35" spans="2:6">
      <c r="B35" s="23"/>
      <c r="C35" s="23"/>
      <c r="D35" s="38"/>
      <c r="E35" s="23"/>
      <c r="F35" s="23"/>
    </row>
    <row r="36" spans="2:6">
      <c r="B36" s="23"/>
      <c r="C36" s="23"/>
      <c r="D36" s="38"/>
      <c r="E36" s="23"/>
      <c r="F36" s="23"/>
    </row>
    <row r="37" spans="2:6">
      <c r="B37" s="23"/>
      <c r="C37" s="23"/>
      <c r="D37" s="38"/>
      <c r="E37" s="23"/>
      <c r="F37" s="23"/>
    </row>
    <row r="38" spans="2:6">
      <c r="B38" s="23"/>
      <c r="C38" s="23"/>
      <c r="D38" s="38"/>
      <c r="E38" s="23"/>
      <c r="F38" s="23"/>
    </row>
    <row r="39" spans="2:6">
      <c r="B39" s="23"/>
      <c r="C39" s="23"/>
      <c r="D39" s="38"/>
      <c r="E39" s="23"/>
      <c r="F39" s="23"/>
    </row>
    <row r="40" spans="2:6">
      <c r="B40" s="23"/>
      <c r="C40" s="23"/>
      <c r="D40" s="38" t="s">
        <v>2</v>
      </c>
      <c r="E40" s="38"/>
      <c r="F40" s="23"/>
    </row>
    <row r="41" spans="2:6">
      <c r="B41" s="23"/>
      <c r="C41" s="23"/>
      <c r="D41" s="23"/>
      <c r="E41" s="23" t="s">
        <v>228</v>
      </c>
      <c r="F41" s="23"/>
    </row>
    <row r="42" spans="2:6">
      <c r="B42" s="23"/>
      <c r="C42" s="23"/>
      <c r="D42" s="23"/>
      <c r="E42" s="23"/>
      <c r="F42" s="23"/>
    </row>
    <row r="43" spans="2:6">
      <c r="B43" s="23"/>
      <c r="C43" s="122" t="s">
        <v>197</v>
      </c>
      <c r="D43" s="23"/>
      <c r="E43" s="23"/>
      <c r="F43" s="23"/>
    </row>
    <row r="44" spans="2:6">
      <c r="B44" s="23"/>
      <c r="C44" s="23"/>
      <c r="D44" s="23" t="s">
        <v>227</v>
      </c>
      <c r="E44" s="23"/>
      <c r="F44" s="23"/>
    </row>
    <row r="45" spans="2:6">
      <c r="B45" s="23"/>
      <c r="C45" s="23"/>
      <c r="D45" s="23"/>
      <c r="E45" s="23"/>
      <c r="F45" s="23"/>
    </row>
    <row r="46" spans="2:6">
      <c r="B46" s="23"/>
      <c r="C46" s="122" t="s">
        <v>214</v>
      </c>
      <c r="D46" s="23"/>
      <c r="E46" s="23"/>
      <c r="F46" s="23"/>
    </row>
    <row r="47" spans="2:6">
      <c r="B47" s="23"/>
      <c r="C47" s="23"/>
      <c r="D47" s="23" t="s">
        <v>215</v>
      </c>
      <c r="E47" s="23"/>
      <c r="F47" s="23"/>
    </row>
    <row r="48" spans="2:6">
      <c r="B48" s="23"/>
      <c r="C48" s="23"/>
      <c r="D48" s="23"/>
      <c r="E48" s="23"/>
      <c r="F48" s="23"/>
    </row>
    <row r="49" spans="2:6">
      <c r="B49" s="23"/>
      <c r="C49" s="122" t="s">
        <v>7</v>
      </c>
      <c r="D49" s="23"/>
      <c r="E49" s="23"/>
      <c r="F49" s="23"/>
    </row>
    <row r="50" spans="2:6">
      <c r="B50" s="23"/>
      <c r="C50" s="38"/>
      <c r="D50" s="38" t="s">
        <v>198</v>
      </c>
      <c r="E50" s="23"/>
      <c r="F50" s="23"/>
    </row>
    <row r="51" spans="2:6">
      <c r="B51" s="23"/>
      <c r="C51" s="23"/>
      <c r="D51" s="23" t="s">
        <v>213</v>
      </c>
      <c r="E51" s="23"/>
      <c r="F51" s="23"/>
    </row>
    <row r="52" spans="2:6">
      <c r="B52" s="23"/>
      <c r="C52" s="23"/>
      <c r="D52" s="23" t="s">
        <v>199</v>
      </c>
      <c r="E52" s="23"/>
      <c r="F52" s="23"/>
    </row>
    <row r="53" spans="2:6">
      <c r="B53" s="23"/>
      <c r="C53" s="23"/>
      <c r="D53" s="23"/>
      <c r="E53" s="23"/>
      <c r="F53" s="23"/>
    </row>
    <row r="54" spans="2:6">
      <c r="B54" s="23"/>
      <c r="C54" s="38"/>
      <c r="D54" s="38" t="s">
        <v>200</v>
      </c>
      <c r="E54" s="23"/>
      <c r="F54" s="23"/>
    </row>
    <row r="55" spans="2:6">
      <c r="B55" s="23"/>
      <c r="C55" s="23"/>
      <c r="D55" s="23" t="s">
        <v>201</v>
      </c>
      <c r="E55" s="23"/>
      <c r="F55" s="23"/>
    </row>
    <row r="56" spans="2:6">
      <c r="B56" s="23"/>
      <c r="C56" s="23"/>
      <c r="D56" s="23" t="s">
        <v>202</v>
      </c>
      <c r="E56" s="23"/>
      <c r="F56" s="23"/>
    </row>
    <row r="57" spans="2:6">
      <c r="B57" s="23"/>
      <c r="C57" s="23"/>
      <c r="D57" s="23"/>
      <c r="E57" s="23"/>
      <c r="F57" s="23"/>
    </row>
    <row r="58" spans="2:6">
      <c r="B58" s="23"/>
      <c r="C58" s="122" t="s">
        <v>9</v>
      </c>
      <c r="D58" s="122"/>
      <c r="E58" s="23"/>
      <c r="F58" s="23"/>
    </row>
    <row r="59" spans="2:6">
      <c r="B59" s="23"/>
      <c r="C59" s="23"/>
      <c r="D59" s="38" t="s">
        <v>203</v>
      </c>
      <c r="E59" s="23"/>
      <c r="F59" s="23"/>
    </row>
    <row r="60" spans="2:6">
      <c r="B60" s="23"/>
      <c r="C60" s="23"/>
      <c r="D60" s="23" t="s">
        <v>234</v>
      </c>
      <c r="E60" s="23"/>
      <c r="F60" s="23"/>
    </row>
    <row r="61" spans="2:6">
      <c r="B61" s="23"/>
      <c r="C61" s="23"/>
      <c r="D61" s="23" t="s">
        <v>206</v>
      </c>
      <c r="E61" s="23"/>
      <c r="F61" s="23"/>
    </row>
    <row r="62" spans="2:6">
      <c r="B62" s="23"/>
      <c r="C62" s="23"/>
      <c r="D62" s="23" t="s">
        <v>207</v>
      </c>
      <c r="E62" s="23"/>
      <c r="F62" s="23"/>
    </row>
    <row r="63" spans="2:6">
      <c r="B63" s="23"/>
      <c r="C63" s="23"/>
      <c r="D63" s="23"/>
      <c r="E63" s="23"/>
      <c r="F63" s="23"/>
    </row>
    <row r="64" spans="2:6">
      <c r="B64" s="23"/>
      <c r="C64" s="23"/>
      <c r="D64" s="38" t="s">
        <v>204</v>
      </c>
      <c r="E64" s="23"/>
      <c r="F64" s="23"/>
    </row>
    <row r="65" spans="2:6">
      <c r="B65" s="23"/>
      <c r="C65" s="23"/>
      <c r="D65" s="23" t="s">
        <v>208</v>
      </c>
      <c r="E65" s="23"/>
      <c r="F65" s="23"/>
    </row>
    <row r="66" spans="2:6">
      <c r="B66" s="23"/>
      <c r="C66" s="23"/>
      <c r="D66" s="23"/>
      <c r="E66" s="23"/>
      <c r="F66" s="23"/>
    </row>
    <row r="67" spans="2:6">
      <c r="B67" s="23"/>
      <c r="C67" s="23"/>
      <c r="D67" s="38" t="s">
        <v>209</v>
      </c>
      <c r="E67" s="23"/>
      <c r="F67" s="23"/>
    </row>
    <row r="68" spans="2:6">
      <c r="B68" s="23"/>
      <c r="C68" s="23"/>
      <c r="D68" s="23" t="s">
        <v>210</v>
      </c>
      <c r="E68" s="23"/>
      <c r="F68" s="23"/>
    </row>
    <row r="69" spans="2:6">
      <c r="B69" s="23"/>
      <c r="C69" s="23"/>
      <c r="D69" s="23"/>
      <c r="E69" s="23"/>
      <c r="F69" s="23"/>
    </row>
    <row r="70" spans="2:6">
      <c r="B70" s="23"/>
      <c r="C70" s="23"/>
      <c r="D70" s="38" t="s">
        <v>205</v>
      </c>
      <c r="E70" s="23"/>
      <c r="F70" s="23"/>
    </row>
    <row r="71" spans="2:6">
      <c r="B71" s="23"/>
      <c r="C71" s="23"/>
      <c r="D71" s="23" t="s">
        <v>211</v>
      </c>
      <c r="E71" s="23"/>
      <c r="F71" s="23"/>
    </row>
    <row r="72" spans="2:6">
      <c r="B72" s="23"/>
      <c r="C72" s="23"/>
      <c r="D72" s="23"/>
      <c r="E72" s="23"/>
      <c r="F72" s="23"/>
    </row>
    <row r="73" spans="2:6">
      <c r="B73" s="23"/>
      <c r="C73" s="122" t="s">
        <v>212</v>
      </c>
      <c r="D73" s="23"/>
      <c r="E73" s="23"/>
      <c r="F73" s="23"/>
    </row>
    <row r="74" spans="2:6">
      <c r="B74" s="23"/>
      <c r="C74" s="23"/>
      <c r="D74" s="38" t="s">
        <v>216</v>
      </c>
      <c r="E74" s="23"/>
      <c r="F74" s="23"/>
    </row>
    <row r="75" spans="2:6">
      <c r="B75" s="23"/>
      <c r="C75" s="23"/>
      <c r="D75" s="23" t="s">
        <v>236</v>
      </c>
      <c r="E75" s="23"/>
      <c r="F75" s="23"/>
    </row>
    <row r="76" spans="2:6">
      <c r="B76" s="23"/>
      <c r="C76" s="23"/>
      <c r="D76" s="23" t="s">
        <v>240</v>
      </c>
      <c r="E76" s="23"/>
      <c r="F76" s="23"/>
    </row>
    <row r="77" spans="2:6" ht="15" customHeight="1">
      <c r="B77" s="23"/>
      <c r="C77" s="23"/>
      <c r="D77" s="23"/>
      <c r="E77" s="23"/>
      <c r="F77" s="23"/>
    </row>
    <row r="78" spans="2:6" ht="15" customHeight="1">
      <c r="B78" s="23"/>
      <c r="C78" s="23"/>
      <c r="D78" s="38" t="s">
        <v>231</v>
      </c>
      <c r="E78" s="23"/>
      <c r="F78" s="23"/>
    </row>
    <row r="79" spans="2:6">
      <c r="B79" s="23"/>
      <c r="C79" s="23"/>
      <c r="D79" s="136" t="s">
        <v>220</v>
      </c>
      <c r="E79" s="23"/>
      <c r="F79" s="23"/>
    </row>
    <row r="80" spans="2:6">
      <c r="B80" s="23"/>
      <c r="C80" s="23"/>
      <c r="D80" s="23" t="s">
        <v>241</v>
      </c>
      <c r="E80" s="23"/>
      <c r="F80" s="23"/>
    </row>
    <row r="81" spans="2:6">
      <c r="B81" s="23"/>
      <c r="C81" s="23"/>
      <c r="D81" s="136"/>
      <c r="E81" s="23"/>
      <c r="F81" s="23"/>
    </row>
    <row r="82" spans="2:6">
      <c r="B82" s="23"/>
      <c r="C82" s="122" t="s">
        <v>217</v>
      </c>
      <c r="D82" s="38"/>
      <c r="E82" s="23"/>
      <c r="F82" s="23"/>
    </row>
    <row r="83" spans="2:6">
      <c r="B83" s="23"/>
      <c r="C83" s="23"/>
      <c r="D83" s="38" t="s">
        <v>218</v>
      </c>
      <c r="E83" s="23"/>
      <c r="F83" s="23"/>
    </row>
    <row r="84" spans="2:6">
      <c r="B84" s="23"/>
      <c r="C84" s="23"/>
      <c r="D84" s="136" t="s">
        <v>219</v>
      </c>
      <c r="E84" s="23"/>
      <c r="F84" s="23"/>
    </row>
    <row r="85" spans="2:6">
      <c r="B85" s="23"/>
      <c r="C85" s="23"/>
      <c r="D85" s="23" t="s">
        <v>242</v>
      </c>
      <c r="E85" s="23"/>
      <c r="F85" s="23"/>
    </row>
    <row r="86" spans="2:6">
      <c r="B86" s="23"/>
      <c r="C86" s="23"/>
      <c r="D86" s="38"/>
      <c r="E86" s="38"/>
      <c r="F86" s="23"/>
    </row>
    <row r="87" spans="2:6">
      <c r="B87" s="138"/>
      <c r="C87" s="138"/>
      <c r="D87" s="140"/>
      <c r="E87" s="139"/>
      <c r="F87" s="138"/>
    </row>
    <row r="88" spans="2:6">
      <c r="B88" s="138"/>
      <c r="C88" s="138"/>
      <c r="D88" s="138"/>
      <c r="E88" s="138"/>
      <c r="F88" s="138"/>
    </row>
    <row r="89" spans="2:6">
      <c r="B89" s="138"/>
      <c r="C89" s="138"/>
      <c r="D89" s="138"/>
      <c r="E89" s="138"/>
      <c r="F89" s="138"/>
    </row>
    <row r="90" spans="2:6">
      <c r="B90" s="138"/>
      <c r="C90" s="138"/>
      <c r="D90" s="138"/>
      <c r="E90" s="138"/>
      <c r="F90" s="138"/>
    </row>
    <row r="91" spans="2:6">
      <c r="B91" s="138"/>
      <c r="C91" s="138"/>
      <c r="D91" s="138"/>
      <c r="E91" s="138"/>
      <c r="F91" s="138"/>
    </row>
    <row r="92" spans="2:6">
      <c r="B92" s="138"/>
      <c r="C92" s="138"/>
      <c r="D92" s="138"/>
      <c r="E92" s="138"/>
      <c r="F92" s="138"/>
    </row>
    <row r="93" spans="2:6">
      <c r="B93" s="138"/>
      <c r="C93" s="138"/>
      <c r="D93" s="138"/>
      <c r="E93" s="138"/>
      <c r="F93" s="138"/>
    </row>
    <row r="94" spans="2:6">
      <c r="B94" s="138"/>
      <c r="C94" s="138"/>
      <c r="D94" s="138"/>
      <c r="E94" s="138"/>
      <c r="F94" s="138"/>
    </row>
    <row r="95" spans="2:6">
      <c r="B95" s="138"/>
      <c r="C95" s="138"/>
      <c r="D95" s="138"/>
      <c r="E95" s="138"/>
      <c r="F95" s="138"/>
    </row>
    <row r="96" spans="2:6">
      <c r="B96" s="138"/>
      <c r="C96" s="138"/>
      <c r="D96" s="138"/>
      <c r="E96" s="138"/>
      <c r="F96" s="138"/>
    </row>
    <row r="97" spans="2:8" ht="21">
      <c r="B97" s="138"/>
      <c r="C97" s="138"/>
      <c r="D97" s="138"/>
      <c r="E97" s="138"/>
      <c r="F97" s="138"/>
      <c r="H97" s="8"/>
    </row>
    <row r="98" spans="2:8">
      <c r="B98" s="138"/>
      <c r="C98" s="138"/>
      <c r="D98" s="138"/>
      <c r="E98" s="138"/>
      <c r="F98" s="138"/>
    </row>
    <row r="99" spans="2:8">
      <c r="B99" s="138"/>
      <c r="C99" s="138"/>
      <c r="D99" s="138"/>
      <c r="E99" s="138"/>
      <c r="F99" s="138"/>
    </row>
    <row r="100" spans="2:8">
      <c r="B100" s="138"/>
      <c r="C100" s="138"/>
      <c r="D100" s="138"/>
      <c r="E100" s="138"/>
      <c r="F100" s="138"/>
    </row>
    <row r="101" spans="2:8">
      <c r="B101" s="138"/>
      <c r="C101" s="138"/>
      <c r="D101" s="138"/>
      <c r="E101" s="138"/>
      <c r="F101" s="138"/>
    </row>
    <row r="102" spans="2:8">
      <c r="B102" s="138"/>
      <c r="C102" s="138"/>
      <c r="D102" s="138"/>
      <c r="E102" s="138"/>
      <c r="F102" s="138"/>
    </row>
    <row r="103" spans="2:8">
      <c r="B103" s="138"/>
      <c r="C103" s="138"/>
      <c r="D103" s="138"/>
      <c r="E103" s="138"/>
      <c r="F103" s="138"/>
    </row>
    <row r="104" spans="2:8">
      <c r="B104" s="138"/>
      <c r="C104" s="138"/>
      <c r="D104" s="138"/>
      <c r="E104" s="138"/>
      <c r="F104" s="138"/>
    </row>
    <row r="105" spans="2:8">
      <c r="B105" s="138"/>
      <c r="C105" s="138"/>
      <c r="D105" s="138"/>
      <c r="E105" s="138"/>
      <c r="F105" s="138"/>
    </row>
    <row r="106" spans="2:8">
      <c r="B106" s="138"/>
      <c r="C106" s="138"/>
      <c r="D106" s="138"/>
      <c r="E106" s="138"/>
      <c r="F106" s="138"/>
    </row>
    <row r="107" spans="2:8">
      <c r="B107" s="138"/>
      <c r="C107" s="138"/>
      <c r="D107" s="138"/>
      <c r="E107" s="138"/>
      <c r="F107" s="138"/>
    </row>
    <row r="108" spans="2:8">
      <c r="B108" s="138"/>
      <c r="C108" s="138"/>
      <c r="D108" s="138"/>
      <c r="E108" s="138"/>
      <c r="F108" s="138"/>
    </row>
    <row r="109" spans="2:8">
      <c r="B109" s="138"/>
      <c r="C109" s="138"/>
      <c r="D109" s="138"/>
      <c r="E109" s="138"/>
      <c r="F109" s="138"/>
    </row>
    <row r="110" spans="2:8">
      <c r="B110" s="138"/>
      <c r="C110" s="138"/>
      <c r="D110" s="138"/>
      <c r="E110" s="138"/>
      <c r="F110" s="138"/>
    </row>
    <row r="111" spans="2:8">
      <c r="B111" s="138"/>
      <c r="C111" s="138"/>
      <c r="D111" s="138"/>
      <c r="E111" s="138"/>
      <c r="F111" s="138"/>
    </row>
    <row r="112" spans="2:8">
      <c r="B112" s="138"/>
      <c r="C112" s="138"/>
      <c r="D112" s="138"/>
      <c r="E112" s="138"/>
      <c r="F112" s="138"/>
    </row>
    <row r="113" spans="2:6">
      <c r="B113" s="138"/>
      <c r="C113" s="138"/>
      <c r="D113" s="138"/>
      <c r="E113" s="138"/>
      <c r="F113" s="138"/>
    </row>
    <row r="114" spans="2:6">
      <c r="B114" s="138"/>
      <c r="C114" s="138"/>
      <c r="D114" s="138"/>
      <c r="E114" s="138"/>
      <c r="F114" s="138"/>
    </row>
    <row r="115" spans="2:6">
      <c r="B115" s="138"/>
      <c r="C115" s="138"/>
      <c r="D115" s="138"/>
      <c r="E115" s="138"/>
      <c r="F115" s="138"/>
    </row>
    <row r="116" spans="2:6">
      <c r="B116" s="138"/>
      <c r="C116" s="138"/>
      <c r="D116" s="138"/>
      <c r="E116" s="138"/>
      <c r="F116" s="138"/>
    </row>
    <row r="117" spans="2:6">
      <c r="B117" s="138"/>
      <c r="C117" s="138"/>
      <c r="D117" s="138"/>
      <c r="E117" s="138"/>
      <c r="F117" s="138"/>
    </row>
    <row r="118" spans="2:6">
      <c r="B118" s="138"/>
      <c r="C118" s="138"/>
      <c r="D118" s="138"/>
      <c r="E118" s="138"/>
      <c r="F118" s="138"/>
    </row>
    <row r="119" spans="2:6">
      <c r="B119" s="138"/>
      <c r="C119" s="138"/>
      <c r="D119" s="138"/>
      <c r="E119" s="138"/>
      <c r="F119" s="138"/>
    </row>
    <row r="120" spans="2:6">
      <c r="B120" s="138"/>
      <c r="C120" s="138"/>
      <c r="D120" s="138"/>
      <c r="E120" s="138"/>
      <c r="F120" s="138"/>
    </row>
    <row r="121" spans="2:6">
      <c r="B121" s="138"/>
      <c r="C121" s="138"/>
      <c r="D121" s="138"/>
      <c r="E121" s="138"/>
      <c r="F121" s="138"/>
    </row>
    <row r="122" spans="2:6">
      <c r="B122" s="138"/>
      <c r="C122" s="138"/>
      <c r="D122" s="138"/>
      <c r="E122" s="138"/>
      <c r="F122" s="138"/>
    </row>
    <row r="123" spans="2:6">
      <c r="B123" s="138"/>
      <c r="C123" s="138"/>
      <c r="D123" s="138"/>
      <c r="E123" s="138"/>
      <c r="F123" s="138"/>
    </row>
    <row r="124" spans="2:6">
      <c r="B124" s="138"/>
      <c r="C124" s="138"/>
      <c r="D124" s="138"/>
      <c r="E124" s="138"/>
      <c r="F124" s="138"/>
    </row>
    <row r="125" spans="2:6">
      <c r="B125" s="138"/>
      <c r="C125" s="138"/>
      <c r="D125" s="138"/>
      <c r="E125" s="138"/>
      <c r="F125" s="138"/>
    </row>
    <row r="126" spans="2:6">
      <c r="B126" s="138"/>
      <c r="C126" s="138"/>
      <c r="D126" s="138"/>
      <c r="E126" s="138"/>
      <c r="F126" s="138"/>
    </row>
    <row r="127" spans="2:6">
      <c r="B127" s="138"/>
      <c r="C127" s="138"/>
      <c r="D127" s="138"/>
      <c r="E127" s="138"/>
      <c r="F127" s="138"/>
    </row>
    <row r="128" spans="2:6">
      <c r="B128" s="138"/>
      <c r="C128" s="138"/>
      <c r="D128" s="138"/>
      <c r="E128" s="138"/>
      <c r="F128" s="138"/>
    </row>
    <row r="129" spans="2:6">
      <c r="B129" s="138"/>
      <c r="C129" s="138"/>
      <c r="D129" s="138"/>
      <c r="E129" s="138"/>
      <c r="F129" s="138"/>
    </row>
    <row r="130" spans="2:6">
      <c r="B130" s="138"/>
      <c r="C130" s="138"/>
      <c r="D130" s="138"/>
      <c r="E130" s="138"/>
      <c r="F130" s="138"/>
    </row>
    <row r="131" spans="2:6">
      <c r="B131" s="138"/>
      <c r="C131" s="138"/>
      <c r="D131" s="138"/>
      <c r="E131" s="138"/>
      <c r="F131" s="138"/>
    </row>
    <row r="132" spans="2:6">
      <c r="B132" s="138"/>
      <c r="C132" s="138"/>
      <c r="D132" s="138"/>
      <c r="E132" s="138"/>
      <c r="F132" s="138"/>
    </row>
    <row r="133" spans="2:6">
      <c r="B133" s="138"/>
      <c r="C133" s="138"/>
      <c r="D133" s="138"/>
      <c r="E133" s="138"/>
      <c r="F133" s="138"/>
    </row>
    <row r="134" spans="2:6">
      <c r="B134" s="138"/>
      <c r="C134" s="138"/>
      <c r="D134" s="138"/>
      <c r="E134" s="138"/>
      <c r="F134" s="13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0B5A1-F545-4250-B59C-2C004385271C}">
  <sheetPr codeName="Sheet1" filterMode="1">
    <tabColor rgb="FF7030A0"/>
  </sheetPr>
  <dimension ref="B1:S147"/>
  <sheetViews>
    <sheetView showGridLines="0" zoomScale="85" zoomScaleNormal="85" workbookViewId="0"/>
  </sheetViews>
  <sheetFormatPr defaultRowHeight="13.8"/>
  <cols>
    <col min="1" max="2" width="2.59765625" customWidth="1"/>
    <col min="3" max="3" width="30.8984375" customWidth="1"/>
    <col min="4" max="4" width="26.8984375" style="7" customWidth="1"/>
    <col min="5" max="6" width="2.59765625" style="7" customWidth="1"/>
    <col min="7" max="7" width="12.5" style="7" customWidth="1"/>
    <col min="8" max="9" width="31.19921875" customWidth="1"/>
    <col min="10" max="10" width="12.5" customWidth="1"/>
    <col min="12" max="12" width="37.5" customWidth="1"/>
    <col min="13" max="13" width="17.5" customWidth="1"/>
    <col min="14" max="14" width="28.8984375" customWidth="1"/>
  </cols>
  <sheetData>
    <row r="1" spans="2:19" ht="21">
      <c r="B1" s="8" t="s">
        <v>0</v>
      </c>
      <c r="D1" s="8"/>
      <c r="E1" s="8"/>
      <c r="F1" s="8"/>
      <c r="G1" s="8"/>
      <c r="H1" s="8"/>
      <c r="I1" s="8"/>
      <c r="J1" s="8"/>
    </row>
    <row r="2" spans="2:19">
      <c r="F2" s="13"/>
      <c r="G2" s="13"/>
    </row>
    <row r="3" spans="2:19" ht="51" customHeight="1"/>
    <row r="4" spans="2:19">
      <c r="B4" s="164" t="s">
        <v>1</v>
      </c>
      <c r="C4" s="165"/>
      <c r="D4" s="165"/>
      <c r="E4" s="166"/>
      <c r="G4" s="164" t="s">
        <v>2</v>
      </c>
      <c r="H4" s="165"/>
      <c r="I4" s="165"/>
      <c r="J4" s="166"/>
      <c r="O4" s="7"/>
      <c r="P4" s="7"/>
    </row>
    <row r="5" spans="2:19">
      <c r="B5" s="99"/>
      <c r="C5" s="91"/>
      <c r="D5" s="98"/>
      <c r="E5" s="92"/>
      <c r="G5" s="80"/>
      <c r="J5" s="93"/>
      <c r="O5" s="7"/>
      <c r="P5" s="7"/>
    </row>
    <row r="6" spans="2:19" ht="14.4">
      <c r="B6" s="100"/>
      <c r="C6" s="101" t="s">
        <v>4</v>
      </c>
      <c r="E6" s="93"/>
      <c r="G6" s="80"/>
      <c r="J6" s="93"/>
      <c r="O6" s="7"/>
      <c r="P6" s="7"/>
      <c r="Q6" s="7"/>
      <c r="R6" s="7"/>
      <c r="S6" s="7"/>
    </row>
    <row r="7" spans="2:19">
      <c r="B7" s="100"/>
      <c r="C7" s="88" t="s">
        <v>10</v>
      </c>
      <c r="D7" s="162" t="s">
        <v>11</v>
      </c>
      <c r="E7" s="93"/>
      <c r="G7" s="80"/>
      <c r="J7" s="93"/>
      <c r="O7" s="7"/>
      <c r="P7" s="7"/>
      <c r="Q7" s="7"/>
      <c r="R7" s="7"/>
      <c r="S7" s="7"/>
    </row>
    <row r="8" spans="2:19">
      <c r="B8" s="100"/>
      <c r="E8" s="93"/>
      <c r="G8" s="80"/>
      <c r="J8" s="93"/>
      <c r="O8" s="7"/>
      <c r="P8" s="7"/>
      <c r="Q8" s="7"/>
      <c r="R8" s="7"/>
      <c r="S8" s="7"/>
    </row>
    <row r="9" spans="2:19" ht="14.4">
      <c r="B9" s="100"/>
      <c r="C9" s="44" t="s">
        <v>12</v>
      </c>
      <c r="D9" s="35" t="s">
        <v>13</v>
      </c>
      <c r="E9" s="93"/>
      <c r="G9" s="80"/>
      <c r="J9" s="93"/>
      <c r="O9" s="7"/>
      <c r="P9" s="7"/>
      <c r="Q9" s="7"/>
      <c r="R9" s="7"/>
      <c r="S9" s="7"/>
    </row>
    <row r="10" spans="2:19">
      <c r="B10" s="100"/>
      <c r="C10" s="88" t="s">
        <v>14</v>
      </c>
      <c r="D10" s="143">
        <v>1.3E-7</v>
      </c>
      <c r="E10" s="93"/>
      <c r="G10" s="80"/>
      <c r="J10" s="93"/>
      <c r="O10" s="7"/>
      <c r="P10" s="7"/>
      <c r="Q10" s="7"/>
      <c r="R10" s="7"/>
      <c r="S10" s="7"/>
    </row>
    <row r="11" spans="2:19">
      <c r="B11" s="100"/>
      <c r="C11" s="88" t="s">
        <v>15</v>
      </c>
      <c r="D11" s="143">
        <v>1.1999999999999999E-7</v>
      </c>
      <c r="E11" s="93"/>
      <c r="G11" s="80"/>
      <c r="J11" s="93"/>
      <c r="O11" s="7"/>
      <c r="P11" s="7"/>
      <c r="Q11" s="7"/>
      <c r="R11" s="7"/>
      <c r="S11" s="7"/>
    </row>
    <row r="12" spans="2:19">
      <c r="B12" s="100"/>
      <c r="D12" s="45"/>
      <c r="E12" s="93"/>
      <c r="G12" s="80"/>
      <c r="J12" s="93"/>
      <c r="O12" s="7"/>
      <c r="P12" s="7"/>
      <c r="Q12" s="7"/>
      <c r="R12" s="7"/>
      <c r="S12" s="7"/>
    </row>
    <row r="13" spans="2:19" ht="14.4">
      <c r="B13" s="100"/>
      <c r="C13" s="44" t="s">
        <v>16</v>
      </c>
      <c r="E13" s="93"/>
      <c r="G13" s="80"/>
      <c r="J13" s="93"/>
      <c r="O13" s="7"/>
      <c r="P13" s="7"/>
      <c r="Q13" s="7"/>
      <c r="R13" s="7"/>
      <c r="S13" s="7"/>
    </row>
    <row r="14" spans="2:19">
      <c r="B14" s="100"/>
      <c r="C14" s="88" t="s">
        <v>18</v>
      </c>
      <c r="D14" s="142">
        <v>2040</v>
      </c>
      <c r="E14" s="93"/>
      <c r="G14" s="80"/>
      <c r="J14" s="93"/>
      <c r="O14" s="7"/>
      <c r="P14" s="7"/>
      <c r="Q14" s="7"/>
      <c r="R14" s="7"/>
      <c r="S14" s="7"/>
    </row>
    <row r="15" spans="2:19">
      <c r="B15" s="100"/>
      <c r="C15" s="88" t="s">
        <v>19</v>
      </c>
      <c r="D15" s="144">
        <v>0.03</v>
      </c>
      <c r="E15" s="93"/>
      <c r="G15" s="80"/>
      <c r="J15" s="93"/>
      <c r="O15" s="7"/>
      <c r="P15" s="7"/>
      <c r="Q15" s="7"/>
      <c r="R15" s="7"/>
      <c r="S15" s="7"/>
    </row>
    <row r="16" spans="2:19">
      <c r="B16" s="100"/>
      <c r="C16" s="88" t="s">
        <v>235</v>
      </c>
      <c r="D16" s="163">
        <v>0.4</v>
      </c>
      <c r="E16" s="93"/>
      <c r="G16" s="80"/>
      <c r="J16" s="93"/>
      <c r="O16" s="7"/>
      <c r="P16" s="7"/>
      <c r="Q16" s="7"/>
      <c r="R16" s="7"/>
      <c r="S16" s="7"/>
    </row>
    <row r="17" spans="2:19">
      <c r="B17" s="100"/>
      <c r="E17" s="93"/>
      <c r="G17" s="80"/>
      <c r="J17" s="93"/>
      <c r="O17" s="7"/>
      <c r="P17" s="7"/>
      <c r="Q17" s="7"/>
      <c r="R17" s="7"/>
      <c r="S17" s="7"/>
    </row>
    <row r="18" spans="2:19" ht="14.4">
      <c r="B18" s="100"/>
      <c r="C18" s="44" t="s">
        <v>20</v>
      </c>
      <c r="E18" s="93"/>
      <c r="G18" s="80"/>
      <c r="J18" s="93"/>
      <c r="O18" s="7"/>
      <c r="P18" s="7"/>
      <c r="Q18" s="7"/>
      <c r="R18" s="7"/>
      <c r="S18" s="7"/>
    </row>
    <row r="19" spans="2:19">
      <c r="B19" s="100"/>
      <c r="C19" s="88" t="s">
        <v>22</v>
      </c>
      <c r="D19" s="142" t="s">
        <v>11</v>
      </c>
      <c r="E19" s="93"/>
      <c r="G19" s="80"/>
      <c r="J19" s="93"/>
      <c r="O19" s="7"/>
      <c r="P19" s="7"/>
      <c r="Q19" s="7"/>
      <c r="R19" s="7"/>
      <c r="S19" s="7"/>
    </row>
    <row r="20" spans="2:19">
      <c r="B20" s="100"/>
      <c r="E20" s="93"/>
      <c r="G20" s="80"/>
      <c r="J20" s="93"/>
      <c r="O20" s="7"/>
      <c r="P20" s="7"/>
      <c r="Q20" s="7"/>
      <c r="R20" s="7"/>
      <c r="S20" s="7"/>
    </row>
    <row r="21" spans="2:19" ht="14.4">
      <c r="B21" s="100"/>
      <c r="C21" s="44" t="s">
        <v>24</v>
      </c>
      <c r="E21" s="93"/>
      <c r="G21" s="80"/>
      <c r="J21" s="93"/>
      <c r="O21" s="7"/>
      <c r="P21" s="7"/>
      <c r="Q21" s="7"/>
      <c r="R21" s="7"/>
      <c r="S21" s="7"/>
    </row>
    <row r="22" spans="2:19">
      <c r="B22" s="100"/>
      <c r="C22" s="88" t="s">
        <v>25</v>
      </c>
      <c r="D22" s="162">
        <v>2040</v>
      </c>
      <c r="E22" s="93"/>
      <c r="G22" s="80"/>
      <c r="J22" s="93"/>
      <c r="O22" s="7"/>
      <c r="P22" s="7"/>
      <c r="Q22" s="7"/>
      <c r="R22" s="7"/>
      <c r="S22" s="7"/>
    </row>
    <row r="23" spans="2:19">
      <c r="B23" s="100"/>
      <c r="E23" s="93"/>
      <c r="G23" s="80"/>
      <c r="J23" s="93"/>
      <c r="O23" s="7"/>
      <c r="P23" s="7"/>
      <c r="Q23" s="7"/>
      <c r="R23" s="7"/>
      <c r="S23" s="7"/>
    </row>
    <row r="24" spans="2:19" ht="14.4">
      <c r="B24" s="100"/>
      <c r="C24" s="44" t="s">
        <v>26</v>
      </c>
      <c r="E24" s="93"/>
      <c r="G24" s="80"/>
      <c r="J24" s="93"/>
      <c r="O24" s="7"/>
      <c r="P24" s="7"/>
      <c r="Q24" s="7"/>
      <c r="R24" s="7"/>
      <c r="S24" s="7"/>
    </row>
    <row r="25" spans="2:19">
      <c r="B25" s="100"/>
      <c r="C25" s="88" t="s">
        <v>27</v>
      </c>
      <c r="D25" s="142">
        <v>2</v>
      </c>
      <c r="E25" s="93"/>
      <c r="G25" s="80"/>
      <c r="J25" s="93"/>
      <c r="O25" s="7"/>
      <c r="P25" s="7"/>
      <c r="Q25" s="7"/>
      <c r="R25" s="7"/>
      <c r="S25" s="7"/>
    </row>
    <row r="26" spans="2:19">
      <c r="B26" s="102"/>
      <c r="C26" s="97"/>
      <c r="D26" s="95"/>
      <c r="E26" s="103"/>
      <c r="G26" s="80"/>
      <c r="J26" s="93"/>
      <c r="O26" s="7"/>
      <c r="P26" s="7"/>
      <c r="Q26" s="7"/>
      <c r="R26" s="7"/>
      <c r="S26" s="7"/>
    </row>
    <row r="27" spans="2:19">
      <c r="D27"/>
      <c r="E27"/>
      <c r="G27" s="80"/>
      <c r="I27" s="7"/>
      <c r="J27" s="93"/>
    </row>
    <row r="28" spans="2:19">
      <c r="G28" s="80"/>
      <c r="H28" s="39" t="s">
        <v>21</v>
      </c>
      <c r="I28" s="89">
        <f>MAX(H30:H74)</f>
        <v>3</v>
      </c>
      <c r="J28" s="93"/>
    </row>
    <row r="29" spans="2:19">
      <c r="G29" s="80"/>
      <c r="H29" s="39" t="s">
        <v>28</v>
      </c>
      <c r="I29" s="39" t="s">
        <v>29</v>
      </c>
      <c r="J29" s="93"/>
    </row>
    <row r="30" spans="2:19" hidden="1">
      <c r="G30" s="80"/>
      <c r="H30" s="6" cm="1">
        <f t="array" ref="H30:I74">BLACKBOX!T35:U79</f>
        <v>0</v>
      </c>
      <c r="I30" s="6" t="str">
        <v/>
      </c>
      <c r="J30" s="93"/>
    </row>
    <row r="31" spans="2:19" hidden="1">
      <c r="G31" s="80"/>
      <c r="H31" s="6">
        <v>0</v>
      </c>
      <c r="I31" s="6" t="str">
        <v/>
      </c>
      <c r="J31" s="93"/>
    </row>
    <row r="32" spans="2:19" hidden="1">
      <c r="G32" s="80"/>
      <c r="H32" s="6">
        <v>0</v>
      </c>
      <c r="I32" s="6" t="str">
        <v/>
      </c>
      <c r="J32" s="93"/>
    </row>
    <row r="33" spans="7:10" hidden="1">
      <c r="G33" s="80"/>
      <c r="H33" s="6">
        <v>0</v>
      </c>
      <c r="I33" s="6" t="str">
        <v/>
      </c>
      <c r="J33" s="93"/>
    </row>
    <row r="34" spans="7:10" hidden="1">
      <c r="G34" s="80"/>
      <c r="H34" s="6">
        <v>0</v>
      </c>
      <c r="I34" s="6" t="str">
        <v/>
      </c>
      <c r="J34" s="93"/>
    </row>
    <row r="35" spans="7:10" hidden="1">
      <c r="G35" s="80"/>
      <c r="H35" s="6">
        <v>0</v>
      </c>
      <c r="I35" s="6" t="str">
        <v/>
      </c>
      <c r="J35" s="93"/>
    </row>
    <row r="36" spans="7:10" hidden="1">
      <c r="G36" s="80"/>
      <c r="H36" s="6">
        <v>0</v>
      </c>
      <c r="I36" s="6" t="str">
        <v/>
      </c>
      <c r="J36" s="93"/>
    </row>
    <row r="37" spans="7:10" hidden="1">
      <c r="G37" s="80"/>
      <c r="H37" s="6">
        <v>0</v>
      </c>
      <c r="I37" s="6" t="str">
        <v/>
      </c>
      <c r="J37" s="93"/>
    </row>
    <row r="38" spans="7:10" hidden="1">
      <c r="G38" s="80"/>
      <c r="H38" s="6">
        <v>0</v>
      </c>
      <c r="I38" s="6" t="str">
        <v/>
      </c>
      <c r="J38" s="93"/>
    </row>
    <row r="39" spans="7:10" hidden="1">
      <c r="G39" s="80"/>
      <c r="H39" s="6">
        <v>0</v>
      </c>
      <c r="I39" s="6" t="str">
        <v/>
      </c>
      <c r="J39" s="93"/>
    </row>
    <row r="40" spans="7:10" hidden="1">
      <c r="G40" s="80"/>
      <c r="H40" s="6">
        <v>0</v>
      </c>
      <c r="I40" s="6" t="str">
        <v/>
      </c>
      <c r="J40" s="93"/>
    </row>
    <row r="41" spans="7:10" hidden="1">
      <c r="G41" s="80"/>
      <c r="H41" s="6">
        <v>0</v>
      </c>
      <c r="I41" s="6" t="str">
        <v/>
      </c>
      <c r="J41" s="93"/>
    </row>
    <row r="42" spans="7:10" hidden="1">
      <c r="G42" s="80"/>
      <c r="H42" s="6">
        <v>0</v>
      </c>
      <c r="I42" s="6" t="str">
        <v/>
      </c>
      <c r="J42" s="93"/>
    </row>
    <row r="43" spans="7:10" hidden="1">
      <c r="G43" s="80"/>
      <c r="H43" s="6">
        <v>0</v>
      </c>
      <c r="I43" s="6" t="str">
        <v/>
      </c>
      <c r="J43" s="93"/>
    </row>
    <row r="44" spans="7:10" hidden="1">
      <c r="G44" s="80"/>
      <c r="H44" s="6">
        <v>0</v>
      </c>
      <c r="I44" s="6" t="str">
        <v/>
      </c>
      <c r="J44" s="93"/>
    </row>
    <row r="45" spans="7:10" hidden="1">
      <c r="G45" s="80"/>
      <c r="H45" s="6">
        <v>0</v>
      </c>
      <c r="I45" s="6" t="str">
        <v/>
      </c>
      <c r="J45" s="93"/>
    </row>
    <row r="46" spans="7:10" hidden="1">
      <c r="G46" s="80"/>
      <c r="H46" s="6">
        <v>0</v>
      </c>
      <c r="I46" s="6" t="str">
        <v/>
      </c>
      <c r="J46" s="93"/>
    </row>
    <row r="47" spans="7:10" hidden="1">
      <c r="G47" s="80"/>
      <c r="H47" s="6">
        <v>0</v>
      </c>
      <c r="I47" s="6" t="str">
        <v/>
      </c>
      <c r="J47" s="93"/>
    </row>
    <row r="48" spans="7:10" hidden="1">
      <c r="G48" s="80"/>
      <c r="H48" s="6">
        <v>0</v>
      </c>
      <c r="I48" s="6" t="str">
        <v/>
      </c>
      <c r="J48" s="93"/>
    </row>
    <row r="49" spans="7:10">
      <c r="G49" s="80"/>
      <c r="H49" s="6">
        <v>1</v>
      </c>
      <c r="I49" s="6" t="str">
        <v>Year 2040</v>
      </c>
      <c r="J49" s="93"/>
    </row>
    <row r="50" spans="7:10" hidden="1">
      <c r="G50" s="80"/>
      <c r="H50" s="6">
        <v>1</v>
      </c>
      <c r="I50" s="6" t="str">
        <v/>
      </c>
      <c r="J50" s="93"/>
    </row>
    <row r="51" spans="7:10" hidden="1">
      <c r="G51" s="80"/>
      <c r="H51" s="6">
        <v>1</v>
      </c>
      <c r="I51" s="6" t="str">
        <v/>
      </c>
      <c r="J51" s="93"/>
    </row>
    <row r="52" spans="7:10" hidden="1">
      <c r="G52" s="80"/>
      <c r="H52" s="6">
        <v>1</v>
      </c>
      <c r="I52" s="6" t="str">
        <v/>
      </c>
      <c r="J52" s="93"/>
    </row>
    <row r="53" spans="7:10" hidden="1">
      <c r="G53" s="80"/>
      <c r="H53" s="6">
        <v>1</v>
      </c>
      <c r="I53" s="6" t="str">
        <v/>
      </c>
      <c r="J53" s="93"/>
    </row>
    <row r="54" spans="7:10" hidden="1">
      <c r="G54" s="80"/>
      <c r="H54" s="6">
        <v>1</v>
      </c>
      <c r="I54" s="6" t="str">
        <v/>
      </c>
      <c r="J54" s="93"/>
    </row>
    <row r="55" spans="7:10" hidden="1">
      <c r="G55" s="80"/>
      <c r="H55" s="6">
        <v>1</v>
      </c>
      <c r="I55" s="6" t="str">
        <v/>
      </c>
      <c r="J55" s="93"/>
    </row>
    <row r="56" spans="7:10" hidden="1">
      <c r="G56" s="80"/>
      <c r="H56" s="6">
        <v>1</v>
      </c>
      <c r="I56" s="6" t="str">
        <v/>
      </c>
      <c r="J56" s="93"/>
    </row>
    <row r="57" spans="7:10" hidden="1">
      <c r="G57" s="80"/>
      <c r="H57" s="6">
        <v>1</v>
      </c>
      <c r="I57" s="6" t="str">
        <v/>
      </c>
      <c r="J57" s="93"/>
    </row>
    <row r="58" spans="7:10" hidden="1">
      <c r="G58" s="80"/>
      <c r="H58" s="6">
        <v>1</v>
      </c>
      <c r="I58" s="6" t="str">
        <v/>
      </c>
      <c r="J58" s="93"/>
    </row>
    <row r="59" spans="7:10" hidden="1">
      <c r="G59" s="80"/>
      <c r="H59" s="6">
        <v>1</v>
      </c>
      <c r="I59" s="6" t="str">
        <v/>
      </c>
      <c r="J59" s="93"/>
    </row>
    <row r="60" spans="7:10">
      <c r="G60" s="80"/>
      <c r="H60" s="6">
        <v>2</v>
      </c>
      <c r="I60" s="6" t="str">
        <v>Year 2051</v>
      </c>
      <c r="J60" s="93"/>
    </row>
    <row r="61" spans="7:10" hidden="1">
      <c r="G61" s="80"/>
      <c r="H61" s="6">
        <v>2</v>
      </c>
      <c r="I61" s="6" t="str">
        <v/>
      </c>
      <c r="J61" s="93"/>
    </row>
    <row r="62" spans="7:10" hidden="1">
      <c r="G62" s="80"/>
      <c r="H62" s="6">
        <v>2</v>
      </c>
      <c r="I62" s="6" t="str">
        <v/>
      </c>
      <c r="J62" s="93"/>
    </row>
    <row r="63" spans="7:10" hidden="1">
      <c r="G63" s="80"/>
      <c r="H63" s="6">
        <v>2</v>
      </c>
      <c r="I63" s="6" t="str">
        <v/>
      </c>
      <c r="J63" s="93"/>
    </row>
    <row r="64" spans="7:10" hidden="1">
      <c r="G64" s="80"/>
      <c r="H64" s="6">
        <v>2</v>
      </c>
      <c r="I64" s="6" t="str">
        <v/>
      </c>
      <c r="J64" s="93"/>
    </row>
    <row r="65" spans="7:10" hidden="1">
      <c r="G65" s="80"/>
      <c r="H65" s="6">
        <v>2</v>
      </c>
      <c r="I65" s="6" t="str">
        <v/>
      </c>
      <c r="J65" s="93"/>
    </row>
    <row r="66" spans="7:10" hidden="1">
      <c r="G66" s="80"/>
      <c r="H66" s="6">
        <v>2</v>
      </c>
      <c r="I66" s="6" t="str">
        <v/>
      </c>
      <c r="J66" s="93"/>
    </row>
    <row r="67" spans="7:10" hidden="1">
      <c r="G67" s="80"/>
      <c r="H67" s="6">
        <v>2</v>
      </c>
      <c r="I67" s="6" t="str">
        <v/>
      </c>
      <c r="J67" s="93"/>
    </row>
    <row r="68" spans="7:10" hidden="1">
      <c r="G68" s="80"/>
      <c r="H68" s="6">
        <v>2</v>
      </c>
      <c r="I68" s="6" t="str">
        <v/>
      </c>
      <c r="J68" s="93"/>
    </row>
    <row r="69" spans="7:10" hidden="1">
      <c r="G69" s="80"/>
      <c r="H69" s="6">
        <v>2</v>
      </c>
      <c r="I69" s="6" t="str">
        <v/>
      </c>
      <c r="J69" s="93"/>
    </row>
    <row r="70" spans="7:10" hidden="1">
      <c r="G70" s="80"/>
      <c r="H70" s="6">
        <v>2</v>
      </c>
      <c r="I70" s="6" t="str">
        <v/>
      </c>
      <c r="J70" s="93"/>
    </row>
    <row r="71" spans="7:10">
      <c r="G71" s="80"/>
      <c r="H71" s="6">
        <v>3</v>
      </c>
      <c r="I71" s="6" t="str">
        <v>Year 2062</v>
      </c>
      <c r="J71" s="93"/>
    </row>
    <row r="72" spans="7:10" hidden="1">
      <c r="G72" s="80"/>
      <c r="H72" s="6">
        <v>3</v>
      </c>
      <c r="I72" s="6" t="str">
        <v/>
      </c>
      <c r="J72" s="93"/>
    </row>
    <row r="73" spans="7:10" hidden="1">
      <c r="G73" s="80"/>
      <c r="H73" s="6">
        <v>3</v>
      </c>
      <c r="I73" s="6" t="str">
        <v/>
      </c>
      <c r="J73" s="93"/>
    </row>
    <row r="74" spans="7:10" hidden="1">
      <c r="G74" s="80"/>
      <c r="H74" s="6">
        <v>3</v>
      </c>
      <c r="I74" s="6" t="str">
        <v/>
      </c>
      <c r="J74" s="93"/>
    </row>
    <row r="75" spans="7:10">
      <c r="G75" s="94"/>
      <c r="H75" s="95"/>
      <c r="I75" s="95"/>
      <c r="J75" s="96"/>
    </row>
    <row r="76" spans="7:10">
      <c r="G76" s="90"/>
      <c r="H76" s="98"/>
      <c r="I76" s="98"/>
      <c r="J76" s="92"/>
    </row>
    <row r="77" spans="7:10">
      <c r="G77" s="80"/>
      <c r="H77" s="7"/>
      <c r="I77" s="7"/>
      <c r="J77" s="93"/>
    </row>
    <row r="78" spans="7:10">
      <c r="G78" s="80"/>
      <c r="H78" s="7"/>
      <c r="I78" s="7"/>
      <c r="J78" s="93"/>
    </row>
    <row r="79" spans="7:10">
      <c r="G79" s="80"/>
      <c r="H79" s="7"/>
      <c r="I79" s="7"/>
      <c r="J79" s="93"/>
    </row>
    <row r="80" spans="7:10">
      <c r="G80" s="80"/>
      <c r="H80" s="7"/>
      <c r="I80" s="7"/>
      <c r="J80" s="93"/>
    </row>
    <row r="81" spans="7:10">
      <c r="G81" s="80"/>
      <c r="H81" s="7"/>
      <c r="I81" s="7"/>
      <c r="J81" s="93"/>
    </row>
    <row r="82" spans="7:10">
      <c r="G82" s="80"/>
      <c r="H82" s="7"/>
      <c r="I82" s="7"/>
      <c r="J82" s="93"/>
    </row>
    <row r="83" spans="7:10">
      <c r="G83" s="80"/>
      <c r="H83" s="7"/>
      <c r="I83" s="7"/>
      <c r="J83" s="93"/>
    </row>
    <row r="84" spans="7:10">
      <c r="G84" s="80"/>
      <c r="H84" s="7"/>
      <c r="I84" s="7"/>
      <c r="J84" s="93"/>
    </row>
    <row r="85" spans="7:10">
      <c r="G85" s="80"/>
      <c r="H85" s="7"/>
      <c r="I85" s="7"/>
      <c r="J85" s="93"/>
    </row>
    <row r="86" spans="7:10">
      <c r="G86" s="80"/>
      <c r="H86" s="7"/>
      <c r="I86" s="7"/>
      <c r="J86" s="93"/>
    </row>
    <row r="87" spans="7:10">
      <c r="G87" s="80"/>
      <c r="H87" s="7"/>
      <c r="I87" s="7"/>
      <c r="J87" s="93"/>
    </row>
    <row r="88" spans="7:10">
      <c r="G88" s="80"/>
      <c r="H88" s="7"/>
      <c r="I88" s="7"/>
      <c r="J88" s="93"/>
    </row>
    <row r="89" spans="7:10">
      <c r="G89" s="80"/>
      <c r="H89" s="7"/>
      <c r="I89" s="7"/>
      <c r="J89" s="93"/>
    </row>
    <row r="90" spans="7:10">
      <c r="G90" s="80"/>
      <c r="H90" s="7"/>
      <c r="I90" s="7"/>
      <c r="J90" s="93"/>
    </row>
    <row r="91" spans="7:10">
      <c r="G91" s="80"/>
      <c r="H91" s="7"/>
      <c r="I91" s="7"/>
      <c r="J91" s="93"/>
    </row>
    <row r="92" spans="7:10">
      <c r="G92" s="80"/>
      <c r="H92" s="7"/>
      <c r="I92" s="7"/>
      <c r="J92" s="93"/>
    </row>
    <row r="93" spans="7:10">
      <c r="G93" s="80"/>
      <c r="H93" s="7"/>
      <c r="I93" s="7"/>
      <c r="J93" s="93"/>
    </row>
    <row r="94" spans="7:10">
      <c r="G94" s="80"/>
      <c r="J94" s="93"/>
    </row>
    <row r="95" spans="7:10">
      <c r="G95" s="80"/>
      <c r="J95" s="93"/>
    </row>
    <row r="96" spans="7:10">
      <c r="G96" s="80"/>
      <c r="J96" s="93"/>
    </row>
    <row r="97" spans="7:10">
      <c r="G97" s="80"/>
      <c r="J97" s="93"/>
    </row>
    <row r="98" spans="7:10">
      <c r="G98" s="80"/>
      <c r="J98" s="93"/>
    </row>
    <row r="99" spans="7:10">
      <c r="G99" s="80"/>
      <c r="J99" s="93"/>
    </row>
    <row r="100" spans="7:10">
      <c r="G100" s="80"/>
      <c r="H100" s="39" t="s">
        <v>23</v>
      </c>
      <c r="I100" s="89">
        <f>MAX(H102:H146)</f>
        <v>6</v>
      </c>
      <c r="J100" s="93"/>
    </row>
    <row r="101" spans="7:10">
      <c r="G101" s="80"/>
      <c r="H101" s="39" t="s">
        <v>28</v>
      </c>
      <c r="I101" s="39" t="s">
        <v>29</v>
      </c>
      <c r="J101" s="93"/>
    </row>
    <row r="102" spans="7:10" hidden="1">
      <c r="G102" s="80"/>
      <c r="H102" s="6" cm="1">
        <f t="array" ref="H102:I146">BLACKBOX!W35:X79</f>
        <v>0</v>
      </c>
      <c r="I102" s="6" t="str">
        <v/>
      </c>
      <c r="J102" s="93"/>
    </row>
    <row r="103" spans="7:10" hidden="1">
      <c r="G103" s="80"/>
      <c r="H103" s="6">
        <v>0</v>
      </c>
      <c r="I103" s="6" t="str">
        <v/>
      </c>
      <c r="J103" s="93"/>
    </row>
    <row r="104" spans="7:10" hidden="1">
      <c r="G104" s="80"/>
      <c r="H104" s="6">
        <v>0</v>
      </c>
      <c r="I104" s="6" t="str">
        <v/>
      </c>
      <c r="J104" s="93"/>
    </row>
    <row r="105" spans="7:10" hidden="1">
      <c r="G105" s="80"/>
      <c r="H105" s="6">
        <v>0</v>
      </c>
      <c r="I105" s="6" t="str">
        <v/>
      </c>
      <c r="J105" s="93"/>
    </row>
    <row r="106" spans="7:10" hidden="1">
      <c r="G106" s="80"/>
      <c r="H106" s="6">
        <v>0</v>
      </c>
      <c r="I106" s="6" t="str">
        <v/>
      </c>
      <c r="J106" s="93"/>
    </row>
    <row r="107" spans="7:10" hidden="1">
      <c r="G107" s="80"/>
      <c r="H107" s="6">
        <v>0</v>
      </c>
      <c r="I107" s="6" t="str">
        <v/>
      </c>
      <c r="J107" s="93"/>
    </row>
    <row r="108" spans="7:10" hidden="1">
      <c r="G108" s="80"/>
      <c r="H108" s="6">
        <v>0</v>
      </c>
      <c r="I108" s="6" t="str">
        <v/>
      </c>
      <c r="J108" s="93"/>
    </row>
    <row r="109" spans="7:10" hidden="1">
      <c r="G109" s="80"/>
      <c r="H109" s="6">
        <v>0</v>
      </c>
      <c r="I109" s="6" t="str">
        <v/>
      </c>
      <c r="J109" s="93"/>
    </row>
    <row r="110" spans="7:10" hidden="1">
      <c r="G110" s="80"/>
      <c r="H110" s="6">
        <v>0</v>
      </c>
      <c r="I110" s="6" t="str">
        <v/>
      </c>
      <c r="J110" s="93"/>
    </row>
    <row r="111" spans="7:10" hidden="1">
      <c r="G111" s="80"/>
      <c r="H111" s="6">
        <v>0</v>
      </c>
      <c r="I111" s="6" t="str">
        <v/>
      </c>
      <c r="J111" s="93"/>
    </row>
    <row r="112" spans="7:10" hidden="1">
      <c r="G112" s="80"/>
      <c r="H112" s="6">
        <v>0</v>
      </c>
      <c r="I112" s="6" t="str">
        <v/>
      </c>
      <c r="J112" s="93"/>
    </row>
    <row r="113" spans="7:10" hidden="1">
      <c r="G113" s="80"/>
      <c r="H113" s="6">
        <v>0</v>
      </c>
      <c r="I113" s="6" t="str">
        <v/>
      </c>
      <c r="J113" s="93"/>
    </row>
    <row r="114" spans="7:10" hidden="1">
      <c r="G114" s="80"/>
      <c r="H114" s="6">
        <v>0</v>
      </c>
      <c r="I114" s="6" t="str">
        <v/>
      </c>
      <c r="J114" s="93"/>
    </row>
    <row r="115" spans="7:10" hidden="1">
      <c r="G115" s="80"/>
      <c r="H115" s="6">
        <v>0</v>
      </c>
      <c r="I115" s="6" t="str">
        <v/>
      </c>
      <c r="J115" s="93"/>
    </row>
    <row r="116" spans="7:10" hidden="1">
      <c r="G116" s="80"/>
      <c r="H116" s="6">
        <v>0</v>
      </c>
      <c r="I116" s="6" t="str">
        <v/>
      </c>
      <c r="J116" s="93"/>
    </row>
    <row r="117" spans="7:10" hidden="1">
      <c r="G117" s="80"/>
      <c r="H117" s="6">
        <v>0</v>
      </c>
      <c r="I117" s="6" t="str">
        <v/>
      </c>
      <c r="J117" s="93"/>
    </row>
    <row r="118" spans="7:10" hidden="1">
      <c r="G118" s="80"/>
      <c r="H118" s="6">
        <v>0</v>
      </c>
      <c r="I118" s="6" t="str">
        <v/>
      </c>
      <c r="J118" s="93"/>
    </row>
    <row r="119" spans="7:10">
      <c r="G119" s="80"/>
      <c r="H119" s="6">
        <v>1</v>
      </c>
      <c r="I119" s="6" t="str">
        <v>Year 2038</v>
      </c>
      <c r="J119" s="93"/>
    </row>
    <row r="120" spans="7:10" hidden="1">
      <c r="G120" s="80"/>
      <c r="H120" s="6">
        <v>1</v>
      </c>
      <c r="I120" s="6" t="str">
        <v/>
      </c>
      <c r="J120" s="93"/>
    </row>
    <row r="121" spans="7:10" hidden="1">
      <c r="G121" s="80"/>
      <c r="H121" s="6">
        <v>1</v>
      </c>
      <c r="I121" s="6" t="str">
        <v/>
      </c>
      <c r="J121" s="93"/>
    </row>
    <row r="122" spans="7:10" hidden="1">
      <c r="G122" s="80"/>
      <c r="H122" s="6">
        <v>1</v>
      </c>
      <c r="I122" s="6" t="str">
        <v/>
      </c>
      <c r="J122" s="93"/>
    </row>
    <row r="123" spans="7:10" hidden="1">
      <c r="G123" s="80"/>
      <c r="H123" s="6">
        <v>1</v>
      </c>
      <c r="I123" s="6" t="str">
        <v/>
      </c>
      <c r="J123" s="93"/>
    </row>
    <row r="124" spans="7:10" hidden="1">
      <c r="G124" s="80"/>
      <c r="H124" s="6">
        <v>1</v>
      </c>
      <c r="I124" s="6" t="str">
        <v/>
      </c>
      <c r="J124" s="93"/>
    </row>
    <row r="125" spans="7:10">
      <c r="G125" s="80"/>
      <c r="H125" s="6">
        <v>2</v>
      </c>
      <c r="I125" s="6" t="str">
        <v>Year 2044</v>
      </c>
      <c r="J125" s="93"/>
    </row>
    <row r="126" spans="7:10" hidden="1">
      <c r="G126" s="80"/>
      <c r="H126" s="6">
        <v>2</v>
      </c>
      <c r="I126" s="6" t="str">
        <v/>
      </c>
      <c r="J126" s="93"/>
    </row>
    <row r="127" spans="7:10" hidden="1">
      <c r="G127" s="80"/>
      <c r="H127" s="6">
        <v>2</v>
      </c>
      <c r="I127" s="6" t="str">
        <v/>
      </c>
      <c r="J127" s="93"/>
    </row>
    <row r="128" spans="7:10" hidden="1">
      <c r="G128" s="80"/>
      <c r="H128" s="6">
        <v>2</v>
      </c>
      <c r="I128" s="6" t="str">
        <v/>
      </c>
      <c r="J128" s="93"/>
    </row>
    <row r="129" spans="7:10" hidden="1">
      <c r="G129" s="80"/>
      <c r="H129" s="6">
        <v>2</v>
      </c>
      <c r="I129" s="6" t="str">
        <v/>
      </c>
      <c r="J129" s="93"/>
    </row>
    <row r="130" spans="7:10">
      <c r="G130" s="80"/>
      <c r="H130" s="6">
        <v>3</v>
      </c>
      <c r="I130" s="6" t="str">
        <v>Year 2049</v>
      </c>
      <c r="J130" s="93"/>
    </row>
    <row r="131" spans="7:10" hidden="1">
      <c r="G131" s="80"/>
      <c r="H131" s="6">
        <v>3</v>
      </c>
      <c r="I131" s="6" t="str">
        <v/>
      </c>
      <c r="J131" s="93"/>
    </row>
    <row r="132" spans="7:10" hidden="1">
      <c r="G132" s="80"/>
      <c r="H132" s="6">
        <v>3</v>
      </c>
      <c r="I132" s="6" t="str">
        <v/>
      </c>
      <c r="J132" s="93"/>
    </row>
    <row r="133" spans="7:10" hidden="1">
      <c r="G133" s="80"/>
      <c r="H133" s="6">
        <v>3</v>
      </c>
      <c r="I133" s="6" t="str">
        <v/>
      </c>
      <c r="J133" s="93"/>
    </row>
    <row r="134" spans="7:10">
      <c r="G134" s="80"/>
      <c r="H134" s="6">
        <v>4</v>
      </c>
      <c r="I134" s="6" t="str">
        <v>Year 2053</v>
      </c>
      <c r="J134" s="93"/>
    </row>
    <row r="135" spans="7:10" hidden="1">
      <c r="G135" s="80"/>
      <c r="H135" s="6">
        <v>4</v>
      </c>
      <c r="I135" s="6" t="str">
        <v/>
      </c>
      <c r="J135" s="93"/>
    </row>
    <row r="136" spans="7:10" hidden="1">
      <c r="G136" s="80"/>
      <c r="H136" s="6">
        <v>4</v>
      </c>
      <c r="I136" s="6" t="str">
        <v/>
      </c>
      <c r="J136" s="93"/>
    </row>
    <row r="137" spans="7:10">
      <c r="G137" s="80"/>
      <c r="H137" s="6">
        <v>5</v>
      </c>
      <c r="I137" s="6" t="str">
        <v>Year 2056</v>
      </c>
      <c r="J137" s="93"/>
    </row>
    <row r="138" spans="7:10" hidden="1">
      <c r="G138" s="80"/>
      <c r="H138" s="6">
        <v>5</v>
      </c>
      <c r="I138" s="6" t="str">
        <v/>
      </c>
      <c r="J138" s="93"/>
    </row>
    <row r="139" spans="7:10" hidden="1">
      <c r="G139" s="80"/>
      <c r="H139" s="6">
        <v>5</v>
      </c>
      <c r="I139" s="6" t="str">
        <v/>
      </c>
      <c r="J139" s="93"/>
    </row>
    <row r="140" spans="7:10">
      <c r="G140" s="80"/>
      <c r="H140" s="6">
        <v>6</v>
      </c>
      <c r="I140" s="6" t="str">
        <v>Year 2059</v>
      </c>
      <c r="J140" s="93"/>
    </row>
    <row r="141" spans="7:10" hidden="1">
      <c r="G141" s="80"/>
      <c r="H141" s="6">
        <v>6</v>
      </c>
      <c r="I141" s="6" t="str">
        <v/>
      </c>
      <c r="J141" s="93"/>
    </row>
    <row r="142" spans="7:10" hidden="1">
      <c r="G142" s="80"/>
      <c r="H142" s="6">
        <v>6</v>
      </c>
      <c r="I142" s="6" t="str">
        <v/>
      </c>
      <c r="J142" s="93"/>
    </row>
    <row r="143" spans="7:10" hidden="1">
      <c r="G143" s="80"/>
      <c r="H143" s="6">
        <v>6</v>
      </c>
      <c r="I143" s="6" t="str">
        <v/>
      </c>
      <c r="J143" s="93"/>
    </row>
    <row r="144" spans="7:10" hidden="1">
      <c r="G144" s="80"/>
      <c r="H144" s="6">
        <v>6</v>
      </c>
      <c r="I144" s="6" t="str">
        <v/>
      </c>
      <c r="J144" s="93"/>
    </row>
    <row r="145" spans="7:10" hidden="1">
      <c r="G145" s="80"/>
      <c r="H145" s="6">
        <v>6</v>
      </c>
      <c r="I145" s="6" t="str">
        <v/>
      </c>
      <c r="J145" s="93"/>
    </row>
    <row r="146" spans="7:10" hidden="1">
      <c r="G146" s="80"/>
      <c r="H146" s="6">
        <v>6</v>
      </c>
      <c r="I146" s="6" t="str">
        <v/>
      </c>
      <c r="J146" s="93"/>
    </row>
    <row r="147" spans="7:10">
      <c r="G147" s="94"/>
      <c r="H147" s="97"/>
      <c r="I147" s="97"/>
      <c r="J147" s="96"/>
    </row>
  </sheetData>
  <mergeCells count="2">
    <mergeCell ref="G4:J4"/>
    <mergeCell ref="B4:E4"/>
  </mergeCells>
  <conditionalFormatting sqref="D7 D10:D11 D14:D16 D19 D22 D25">
    <cfRule type="containsBlanks" dxfId="3" priority="3">
      <formula>LEN(TRIM(D7))=0</formula>
    </cfRule>
  </conditionalFormatting>
  <dataValidations count="1">
    <dataValidation type="list" allowBlank="1" showInputMessage="1" showErrorMessage="1" sqref="D19 D7" xr:uid="{2C63CCD8-0735-4F58-B379-5C5FB06BEA5E}">
      <formula1>"Low, Medium, High"</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BBD33FD-668D-4E9B-9205-1F7298BF4D8B}">
          <x14:formula1>
            <xm:f>'LIST-Px&amp;DD'!$B$5:$B$49</xm:f>
          </x14:formula1>
          <xm:sqref>D14</xm:sqref>
        </x14:dataValidation>
        <x14:dataValidation type="list" allowBlank="1" showInputMessage="1" showErrorMessage="1" xr:uid="{7F17EEDC-2D4C-4169-9FEF-335C72830101}">
          <x14:formula1>
            <xm:f>'LIST-Px&amp;DD'!$D$5:$D$45</xm:f>
          </x14:formula1>
          <xm:sqref>D15</xm:sqref>
        </x14:dataValidation>
        <x14:dataValidation type="list" allowBlank="1" showInputMessage="1" showErrorMessage="1" xr:uid="{5127A432-535E-4E4F-B021-61D61DD64C8A}">
          <x14:formula1>
            <xm:f>'LIST-Px&amp;DD'!$F$5:$F$14</xm:f>
          </x14:formula1>
          <xm:sqref>D16</xm:sqref>
        </x14:dataValidation>
        <x14:dataValidation type="list" allowBlank="1" showInputMessage="1" showErrorMessage="1" xr:uid="{7E5D9CE3-7627-4C96-8DEA-4B84ACED2A79}">
          <x14:formula1>
            <xm:f>'LIST-Conserv_Eff'!$B$6:$B$11</xm:f>
          </x14:formula1>
          <xm:sqref>D10</xm:sqref>
        </x14:dataValidation>
        <x14:dataValidation type="list" allowBlank="1" showInputMessage="1" showErrorMessage="1" xr:uid="{E418241D-0BA5-4620-A84A-B270DC64302A}">
          <x14:formula1>
            <xm:f>'LIST-Conserv_Eff'!$C$6:$C$12</xm:f>
          </x14:formula1>
          <xm:sqref>D11</xm:sqref>
        </x14:dataValidation>
        <x14:dataValidation type="list" allowBlank="1" showInputMessage="1" showErrorMessage="1" xr:uid="{262F5AAD-741D-46D4-9597-FEDC78E8A990}">
          <x14:formula1>
            <xm:f>'LIST-Reserve'!$B$5:$B$17</xm:f>
          </x14:formula1>
          <xm:sqref>D25</xm:sqref>
        </x14:dataValidation>
        <x14:dataValidation type="list" allowBlank="1" showInputMessage="1" showErrorMessage="1" xr:uid="{F4A923A5-A296-42F0-B7A9-D5568E665778}">
          <x14:formula1>
            <xm:f>'LIST-WA End'!$B$5:$B$44</xm:f>
          </x14:formula1>
          <xm:sqref>D22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9F800-F18A-4E65-BE5D-4D0384C2425A}">
  <sheetPr codeName="Sheet2">
    <tabColor theme="1"/>
  </sheetPr>
  <dimension ref="B1:AC133"/>
  <sheetViews>
    <sheetView showGridLines="0" topLeftCell="A37" zoomScale="70" zoomScaleNormal="100" workbookViewId="0">
      <selection activeCell="C25" sqref="C25"/>
    </sheetView>
  </sheetViews>
  <sheetFormatPr defaultRowHeight="13.8"/>
  <cols>
    <col min="1" max="1" width="2.59765625" customWidth="1"/>
    <col min="2" max="2" width="26.8984375" customWidth="1"/>
    <col min="3" max="29" width="18.69921875" customWidth="1"/>
  </cols>
  <sheetData>
    <row r="1" spans="2:10" ht="27" customHeight="1">
      <c r="B1" s="8" t="s">
        <v>30</v>
      </c>
      <c r="C1" s="8"/>
      <c r="D1" s="8"/>
      <c r="E1" s="8"/>
      <c r="F1" s="8"/>
      <c r="G1" s="8"/>
      <c r="H1" s="8"/>
      <c r="I1" s="8"/>
      <c r="J1" s="8"/>
    </row>
    <row r="3" spans="2:10" ht="14.4">
      <c r="B3" s="44" t="s">
        <v>31</v>
      </c>
    </row>
    <row r="4" spans="2:10">
      <c r="C4" s="14" t="s">
        <v>32</v>
      </c>
      <c r="D4" s="14"/>
      <c r="E4" s="14"/>
      <c r="F4" s="14"/>
    </row>
    <row r="5" spans="2:10">
      <c r="B5" s="88" t="s">
        <v>10</v>
      </c>
      <c r="C5" s="145" t="str">
        <f>Main!$D$7</f>
        <v>Medium</v>
      </c>
      <c r="D5" s="7"/>
      <c r="E5" s="7"/>
      <c r="F5" s="7"/>
      <c r="H5" s="7"/>
    </row>
    <row r="6" spans="2:10" ht="14.4">
      <c r="B6" s="88" t="s">
        <v>33</v>
      </c>
      <c r="C6" s="19">
        <v>365</v>
      </c>
      <c r="D6" s="10"/>
      <c r="E6" s="10"/>
      <c r="F6" s="10"/>
    </row>
    <row r="7" spans="2:10" ht="14.4">
      <c r="B7" s="10"/>
      <c r="C7" s="10"/>
      <c r="D7" s="7"/>
      <c r="E7" s="7"/>
      <c r="F7" s="7"/>
    </row>
    <row r="8" spans="2:10" ht="14.4">
      <c r="B8" s="44" t="s">
        <v>12</v>
      </c>
      <c r="D8" s="7"/>
      <c r="E8" s="7"/>
      <c r="F8" s="7"/>
    </row>
    <row r="9" spans="2:10">
      <c r="C9" s="14" t="s">
        <v>13</v>
      </c>
      <c r="D9" s="7"/>
      <c r="E9" s="7"/>
      <c r="F9" s="7"/>
    </row>
    <row r="10" spans="2:10">
      <c r="B10" s="88" t="s">
        <v>34</v>
      </c>
      <c r="C10" s="42">
        <f>Main!$D$10</f>
        <v>1.3E-7</v>
      </c>
      <c r="D10" s="7"/>
      <c r="E10" s="7"/>
      <c r="F10" s="7"/>
    </row>
    <row r="11" spans="2:10">
      <c r="B11" s="88" t="s">
        <v>35</v>
      </c>
      <c r="C11" s="42">
        <f>Main!$D$11</f>
        <v>1.1999999999999999E-7</v>
      </c>
      <c r="D11" s="7"/>
      <c r="E11" s="7"/>
      <c r="F11" s="7"/>
    </row>
    <row r="12" spans="2:10" ht="14.4">
      <c r="B12" s="10"/>
      <c r="C12" s="10"/>
      <c r="D12" s="7"/>
      <c r="E12" s="7"/>
      <c r="F12" s="7"/>
    </row>
    <row r="13" spans="2:10" ht="14.4">
      <c r="B13" s="44" t="s">
        <v>16</v>
      </c>
      <c r="D13" s="7"/>
      <c r="E13" s="7"/>
      <c r="F13" s="7"/>
    </row>
    <row r="14" spans="2:10">
      <c r="D14" s="7"/>
      <c r="E14" s="7"/>
      <c r="F14" s="7"/>
    </row>
    <row r="15" spans="2:10">
      <c r="B15" s="9" t="s">
        <v>18</v>
      </c>
      <c r="C15" s="50">
        <f>Main!$D$14</f>
        <v>2040</v>
      </c>
      <c r="D15" s="7"/>
      <c r="E15" s="7"/>
      <c r="F15" s="7"/>
    </row>
    <row r="16" spans="2:10">
      <c r="B16" s="88" t="s">
        <v>19</v>
      </c>
      <c r="C16" s="51">
        <f>Main!$D$15</f>
        <v>0.03</v>
      </c>
      <c r="D16" s="7"/>
      <c r="E16" s="7"/>
      <c r="F16" s="7"/>
    </row>
    <row r="17" spans="2:6">
      <c r="B17" s="88" t="s">
        <v>235</v>
      </c>
      <c r="C17" s="55">
        <f>Main!$D$16</f>
        <v>0.4</v>
      </c>
      <c r="D17" s="7"/>
      <c r="E17" s="7"/>
      <c r="F17" s="7"/>
    </row>
    <row r="18" spans="2:6" ht="14.4">
      <c r="B18" s="10"/>
      <c r="C18" s="10"/>
      <c r="D18" s="7"/>
      <c r="E18" s="7"/>
      <c r="F18" s="7"/>
    </row>
    <row r="19" spans="2:6" ht="14.4">
      <c r="B19" s="44" t="s">
        <v>36</v>
      </c>
      <c r="C19" s="7"/>
      <c r="D19" s="7"/>
      <c r="E19" s="7"/>
      <c r="F19" s="7"/>
    </row>
    <row r="20" spans="2:6">
      <c r="D20" s="7"/>
      <c r="E20" s="7"/>
      <c r="F20" s="7"/>
    </row>
    <row r="21" spans="2:6">
      <c r="B21" s="9" t="s">
        <v>22</v>
      </c>
      <c r="C21" s="50" t="str">
        <f>Main!$D$19</f>
        <v>Medium</v>
      </c>
      <c r="D21" s="7"/>
      <c r="E21" s="7"/>
      <c r="F21" s="7"/>
    </row>
    <row r="22" spans="2:6" ht="14.4">
      <c r="B22" s="10"/>
      <c r="C22" s="10"/>
      <c r="D22" s="7"/>
      <c r="E22" s="7"/>
      <c r="F22" s="7"/>
    </row>
    <row r="23" spans="2:6" ht="14.4">
      <c r="B23" s="44" t="s">
        <v>24</v>
      </c>
      <c r="C23" s="7"/>
      <c r="D23" s="7"/>
      <c r="E23" s="7"/>
      <c r="F23" s="7"/>
    </row>
    <row r="24" spans="2:6" ht="14.4">
      <c r="B24" s="44"/>
      <c r="C24" s="7"/>
      <c r="D24" s="7"/>
      <c r="E24" s="7"/>
      <c r="F24" s="7"/>
    </row>
    <row r="25" spans="2:6">
      <c r="B25" s="88" t="s">
        <v>25</v>
      </c>
      <c r="C25" s="50">
        <f>Main!$D$22</f>
        <v>2040</v>
      </c>
      <c r="D25" s="7"/>
      <c r="E25" s="7"/>
      <c r="F25" s="7"/>
    </row>
    <row r="26" spans="2:6">
      <c r="B26" s="1"/>
      <c r="C26" s="7"/>
      <c r="D26" s="7"/>
      <c r="E26" s="7"/>
      <c r="F26" s="7"/>
    </row>
    <row r="27" spans="2:6" ht="14.4">
      <c r="B27" s="44" t="s">
        <v>26</v>
      </c>
      <c r="C27" s="7"/>
      <c r="D27" s="7"/>
      <c r="E27" s="7"/>
      <c r="F27" s="7"/>
    </row>
    <row r="28" spans="2:6" ht="14.4">
      <c r="B28" s="44"/>
      <c r="C28" s="7"/>
      <c r="D28" s="7"/>
      <c r="E28" s="7"/>
      <c r="F28" s="7"/>
    </row>
    <row r="29" spans="2:6">
      <c r="B29" s="88" t="s">
        <v>27</v>
      </c>
      <c r="C29" s="50">
        <f>Main!$D$25</f>
        <v>2</v>
      </c>
      <c r="D29" s="7"/>
      <c r="E29" s="7"/>
      <c r="F29" s="7"/>
    </row>
    <row r="30" spans="2:6">
      <c r="B30" s="1"/>
      <c r="C30" s="7"/>
      <c r="D30" s="7"/>
      <c r="E30" s="7"/>
      <c r="F30" s="7"/>
    </row>
    <row r="31" spans="2:6" ht="14.4">
      <c r="B31" s="10" t="s">
        <v>37</v>
      </c>
    </row>
    <row r="33" spans="2:29" ht="15" customHeight="1">
      <c r="B33" s="174" t="s">
        <v>25</v>
      </c>
      <c r="C33" s="168" t="s">
        <v>38</v>
      </c>
      <c r="D33" s="169"/>
      <c r="E33" s="169"/>
      <c r="F33" s="170"/>
      <c r="G33" s="168" t="s">
        <v>39</v>
      </c>
      <c r="H33" s="169"/>
      <c r="I33" s="170"/>
      <c r="J33" s="175" t="s">
        <v>40</v>
      </c>
      <c r="K33" s="173" t="s">
        <v>41</v>
      </c>
      <c r="L33" s="173"/>
      <c r="M33" s="173"/>
      <c r="N33" s="173"/>
      <c r="O33" s="173" t="s">
        <v>42</v>
      </c>
      <c r="P33" s="173"/>
      <c r="Q33" s="173" t="s">
        <v>43</v>
      </c>
      <c r="R33" s="172" t="s">
        <v>44</v>
      </c>
      <c r="S33" s="172"/>
      <c r="T33" s="167" t="s">
        <v>45</v>
      </c>
      <c r="U33" s="167"/>
      <c r="V33" s="167"/>
      <c r="W33" s="167" t="s">
        <v>46</v>
      </c>
      <c r="X33" s="167"/>
      <c r="Y33" s="167"/>
      <c r="Z33" s="167" t="s">
        <v>47</v>
      </c>
      <c r="AA33" s="167"/>
      <c r="AB33" s="171" t="s">
        <v>48</v>
      </c>
      <c r="AC33" s="171"/>
    </row>
    <row r="34" spans="2:29" ht="27.6">
      <c r="B34" s="174"/>
      <c r="C34" s="15" t="s">
        <v>49</v>
      </c>
      <c r="D34" s="15" t="s">
        <v>50</v>
      </c>
      <c r="E34" s="15" t="s">
        <v>51</v>
      </c>
      <c r="F34" s="62" t="s">
        <v>52</v>
      </c>
      <c r="G34" s="15" t="s">
        <v>53</v>
      </c>
      <c r="H34" s="15" t="s">
        <v>54</v>
      </c>
      <c r="I34" s="15" t="s">
        <v>55</v>
      </c>
      <c r="J34" s="175"/>
      <c r="K34" s="15" t="s">
        <v>56</v>
      </c>
      <c r="L34" s="15" t="s">
        <v>57</v>
      </c>
      <c r="M34" s="15" t="s">
        <v>58</v>
      </c>
      <c r="N34" s="62" t="s">
        <v>55</v>
      </c>
      <c r="O34" s="15" t="s">
        <v>54</v>
      </c>
      <c r="P34" s="62" t="s">
        <v>55</v>
      </c>
      <c r="Q34" s="173"/>
      <c r="R34" s="75" t="s">
        <v>8</v>
      </c>
      <c r="S34" s="75" t="s">
        <v>59</v>
      </c>
      <c r="T34" s="75" t="s">
        <v>60</v>
      </c>
      <c r="U34" s="75" t="s">
        <v>61</v>
      </c>
      <c r="V34" s="24" t="s">
        <v>62</v>
      </c>
      <c r="W34" s="75" t="s">
        <v>60</v>
      </c>
      <c r="X34" s="75" t="s">
        <v>61</v>
      </c>
      <c r="Y34" s="24" t="s">
        <v>62</v>
      </c>
      <c r="Z34" s="24" t="s">
        <v>63</v>
      </c>
      <c r="AA34" s="75" t="s">
        <v>59</v>
      </c>
      <c r="AB34" s="24" t="s">
        <v>63</v>
      </c>
      <c r="AC34" s="75" t="s">
        <v>59</v>
      </c>
    </row>
    <row r="35" spans="2:29">
      <c r="B35" s="6">
        <v>2021</v>
      </c>
      <c r="C35" s="2">
        <f>'DD Pot_Water'!$E42</f>
        <v>319.67303106441256</v>
      </c>
      <c r="D35" s="2">
        <f>'DD Water_Total'!D42</f>
        <v>222.41270776156352</v>
      </c>
      <c r="E35" s="81">
        <f>SUM(C35:D35)</f>
        <v>542.08573882597602</v>
      </c>
      <c r="F35" s="81">
        <f>E35*(12+$C$29)/12</f>
        <v>632.43336196363873</v>
      </c>
      <c r="G35" s="2">
        <f>'DD Water_Total'!E42</f>
        <v>18.292676735824635</v>
      </c>
      <c r="H35" s="2">
        <f>'DD Water_Total'!F42</f>
        <v>99.204553927102424</v>
      </c>
      <c r="I35" s="81">
        <f>SUM(G35:H35)</f>
        <v>117.49723066292705</v>
      </c>
      <c r="J35" s="2">
        <f>E35+I35</f>
        <v>659.58296948890302</v>
      </c>
      <c r="K35" s="2" cm="1">
        <f t="array" ref="K35">_xlfn.IFS($C$21="Low",'SS Water_CM'!$H52,$C$21="Medium",'SS Water_CM'!$I52,$C$21="High",'SS Water_CM'!$J52)</f>
        <v>364.63848537600006</v>
      </c>
      <c r="L35" s="2">
        <f>'SS Desalin_Water'!$D$11</f>
        <v>315.45000000000005</v>
      </c>
      <c r="M35" s="2">
        <f>IF(B35&gt;=$C$25,"0", 'SS Imported_Water'!$D$14)</f>
        <v>406.53409825</v>
      </c>
      <c r="N35" s="81">
        <f t="shared" ref="N35:N79" si="0">SUM(K35:M35)</f>
        <v>1086.6225836260001</v>
      </c>
      <c r="O35" s="2">
        <f>'SS NEWater'!$D$12</f>
        <v>247.39999999999998</v>
      </c>
      <c r="P35" s="81">
        <f>O35</f>
        <v>247.39999999999998</v>
      </c>
      <c r="Q35" s="2">
        <f t="shared" ref="Q35:Q79" si="1">SUM(N35,P35)</f>
        <v>1334.0225836260001</v>
      </c>
      <c r="R35" s="2">
        <f>N35-F35</f>
        <v>454.18922166236132</v>
      </c>
      <c r="S35" s="2">
        <f>P35-I35</f>
        <v>129.90276933707293</v>
      </c>
      <c r="T35" s="6">
        <f>CEILING(IF(R35&lt;0, -R35/'SS Desalin_Water'!$C$15,0),1)</f>
        <v>0</v>
      </c>
      <c r="U35" s="6" t="str">
        <f>IF(IFERROR(T35-T34,0)&gt;=1,"Year "&amp;B35,"")</f>
        <v/>
      </c>
      <c r="V35" s="2">
        <f>'SS Desalin_Water'!$C$15*T35</f>
        <v>0</v>
      </c>
      <c r="W35" s="6">
        <f>CEILING(IF(S35&lt;0, -S35/'SS NEWater'!$C$15,0),1)</f>
        <v>0</v>
      </c>
      <c r="X35" s="6" t="str">
        <f>IF(IFERROR(W35-W34,0)&gt;=1,"Year "&amp;B35,"")</f>
        <v/>
      </c>
      <c r="Y35" s="2">
        <f>'SS NEWater'!$C$15*W35</f>
        <v>0</v>
      </c>
      <c r="Z35" s="85">
        <f t="shared" ref="Z35:Z79" si="2">$N35+$V35</f>
        <v>1086.6225836260001</v>
      </c>
      <c r="AA35" s="85">
        <f t="shared" ref="AA35:AA79" si="3">$P35+$Y35</f>
        <v>247.39999999999998</v>
      </c>
      <c r="AB35" s="2">
        <f t="shared" ref="AB35:AB79" si="4">$Z35-$F35</f>
        <v>454.18922166236132</v>
      </c>
      <c r="AC35" s="2">
        <f t="shared" ref="AC35:AC79" si="5">$AA35-$I35</f>
        <v>129.90276933707293</v>
      </c>
    </row>
    <row r="36" spans="2:29">
      <c r="B36" s="6">
        <v>2022</v>
      </c>
      <c r="C36" s="2">
        <f>'DD Pot_Water'!$E43</f>
        <v>318.54534693035555</v>
      </c>
      <c r="D36" s="2">
        <f>'DD Water_Total'!D43</f>
        <v>221.62812083247465</v>
      </c>
      <c r="E36" s="81">
        <f t="shared" ref="E36:E74" si="6">SUM(C36:D36)</f>
        <v>540.17346776283023</v>
      </c>
      <c r="F36" s="81">
        <f t="shared" ref="F36:F79" si="7">E36*(12+$C$29)/12</f>
        <v>630.20237905663532</v>
      </c>
      <c r="G36" s="2">
        <f>'DD Water_Total'!E43</f>
        <v>19.237674450954891</v>
      </c>
      <c r="H36" s="2">
        <f>'DD Water_Total'!F43</f>
        <v>104.32945052618958</v>
      </c>
      <c r="I36" s="81">
        <f t="shared" ref="I36:I74" si="8">SUM(G36:H36)</f>
        <v>123.56712497714446</v>
      </c>
      <c r="J36" s="2">
        <f t="shared" ref="J36:J74" si="9">E36+I36</f>
        <v>663.74059273997466</v>
      </c>
      <c r="K36" s="2" cm="1">
        <f t="array" ref="K36">_xlfn.IFS($C$21="Low",'SS Water_CM'!$H53,$C$21="Medium",'SS Water_CM'!$I53,$C$21="High",'SS Water_CM'!$J53)</f>
        <v>277.11278971200005</v>
      </c>
      <c r="L36" s="2">
        <f>'SS Desalin_Water'!$D$11</f>
        <v>315.45000000000005</v>
      </c>
      <c r="M36" s="2">
        <f>IF(B36&gt;=$C$25,"0", 'SS Imported_Water'!$D$14)</f>
        <v>406.53409825</v>
      </c>
      <c r="N36" s="81">
        <f t="shared" si="0"/>
        <v>999.09688796199998</v>
      </c>
      <c r="O36" s="2">
        <f>'SS NEWater'!$D$12</f>
        <v>247.39999999999998</v>
      </c>
      <c r="P36" s="81">
        <f t="shared" ref="P36:P41" si="10">O36</f>
        <v>247.39999999999998</v>
      </c>
      <c r="Q36" s="2">
        <f t="shared" si="1"/>
        <v>1246.4968879620001</v>
      </c>
      <c r="R36" s="2">
        <f t="shared" ref="R36:R79" si="11">N36-F36</f>
        <v>368.89450890536466</v>
      </c>
      <c r="S36" s="2">
        <f t="shared" ref="S36:S79" si="12">P36-I36</f>
        <v>123.83287502285552</v>
      </c>
      <c r="T36" s="6">
        <f>CEILING(IF(R36&lt;0, -R36/'SS Desalin_Water'!$C$15,0),1)</f>
        <v>0</v>
      </c>
      <c r="U36" s="6" t="str">
        <f t="shared" ref="U36:U79" si="13">IF(IFERROR(T36-T35,0)&gt;=1,"Year "&amp;B36,"")</f>
        <v/>
      </c>
      <c r="V36" s="2">
        <f>'SS Desalin_Water'!$C$15*T36</f>
        <v>0</v>
      </c>
      <c r="W36" s="6">
        <f>CEILING(IF(S36&lt;0, -S36/'SS NEWater'!$C$15,0),1)</f>
        <v>0</v>
      </c>
      <c r="X36" s="6" t="str">
        <f t="shared" ref="X36:X79" si="14">IF(IFERROR(W36-W35,0)&gt;=1,"Year "&amp;B36,"")</f>
        <v/>
      </c>
      <c r="Y36" s="2">
        <f>'SS NEWater'!$C$15*W36</f>
        <v>0</v>
      </c>
      <c r="Z36" s="85">
        <f t="shared" si="2"/>
        <v>999.09688796199998</v>
      </c>
      <c r="AA36" s="85">
        <f t="shared" si="3"/>
        <v>247.39999999999998</v>
      </c>
      <c r="AB36" s="2">
        <f t="shared" si="4"/>
        <v>368.89450890536466</v>
      </c>
      <c r="AC36" s="2">
        <f t="shared" si="5"/>
        <v>123.83287502285552</v>
      </c>
    </row>
    <row r="37" spans="2:29">
      <c r="B37" s="6">
        <v>2023</v>
      </c>
      <c r="C37" s="2">
        <f>'DD Pot_Water'!$E44</f>
        <v>317.31568018668338</v>
      </c>
      <c r="D37" s="2">
        <f>'DD Water_Total'!D44</f>
        <v>220.77257944009057</v>
      </c>
      <c r="E37" s="81">
        <f t="shared" si="6"/>
        <v>538.08825962677395</v>
      </c>
      <c r="F37" s="81">
        <f t="shared" si="7"/>
        <v>627.76963623123629</v>
      </c>
      <c r="G37" s="2">
        <f>'DD Water_Total'!E44</f>
        <v>20.189082812863465</v>
      </c>
      <c r="H37" s="2">
        <f>'DD Water_Total'!F44</f>
        <v>109.48911324306314</v>
      </c>
      <c r="I37" s="81">
        <f t="shared" si="8"/>
        <v>129.67819605592661</v>
      </c>
      <c r="J37" s="2">
        <f t="shared" si="9"/>
        <v>667.76645568270055</v>
      </c>
      <c r="K37" s="2" cm="1">
        <f t="array" ref="K37">_xlfn.IFS($C$21="Low",'SS Water_CM'!$H54,$C$21="Medium",'SS Water_CM'!$I54,$C$21="High",'SS Water_CM'!$J54)</f>
        <v>279.76458674273681</v>
      </c>
      <c r="L37" s="2">
        <f>'SS Desalin_Water'!$D$11</f>
        <v>315.45000000000005</v>
      </c>
      <c r="M37" s="2">
        <f>IF(B37&gt;=$C$25,"0", 'SS Imported_Water'!$D$14)</f>
        <v>406.53409825</v>
      </c>
      <c r="N37" s="81">
        <f t="shared" si="0"/>
        <v>1001.7486849927368</v>
      </c>
      <c r="O37" s="2">
        <f>'SS NEWater'!$D$12</f>
        <v>247.39999999999998</v>
      </c>
      <c r="P37" s="81">
        <f t="shared" si="10"/>
        <v>247.39999999999998</v>
      </c>
      <c r="Q37" s="2">
        <f t="shared" si="1"/>
        <v>1249.1486849927369</v>
      </c>
      <c r="R37" s="2">
        <f t="shared" si="11"/>
        <v>373.97904876150051</v>
      </c>
      <c r="S37" s="2">
        <f t="shared" si="12"/>
        <v>117.72180394407337</v>
      </c>
      <c r="T37" s="6">
        <f>CEILING(IF(R37&lt;0, -R37/'SS Desalin_Water'!$C$15,0),1)</f>
        <v>0</v>
      </c>
      <c r="U37" s="6" t="str">
        <f t="shared" si="13"/>
        <v/>
      </c>
      <c r="V37" s="2">
        <f>'SS Desalin_Water'!$C$15*T37</f>
        <v>0</v>
      </c>
      <c r="W37" s="6">
        <f>CEILING(IF(S37&lt;0, -S37/'SS NEWater'!$C$15,0),1)</f>
        <v>0</v>
      </c>
      <c r="X37" s="6" t="str">
        <f t="shared" si="14"/>
        <v/>
      </c>
      <c r="Y37" s="2">
        <f>'SS NEWater'!$C$15*W37</f>
        <v>0</v>
      </c>
      <c r="Z37" s="85">
        <f t="shared" si="2"/>
        <v>1001.7486849927368</v>
      </c>
      <c r="AA37" s="85">
        <f t="shared" si="3"/>
        <v>247.39999999999998</v>
      </c>
      <c r="AB37" s="2">
        <f t="shared" si="4"/>
        <v>373.97904876150051</v>
      </c>
      <c r="AC37" s="2">
        <f t="shared" si="5"/>
        <v>117.72180394407337</v>
      </c>
    </row>
    <row r="38" spans="2:29">
      <c r="B38" s="6">
        <v>2024</v>
      </c>
      <c r="C38" s="2">
        <f>'DD Pot_Water'!$E45</f>
        <v>315.98274997491058</v>
      </c>
      <c r="D38" s="2">
        <f>'DD Water_Total'!D45</f>
        <v>219.84519242633323</v>
      </c>
      <c r="E38" s="81">
        <f t="shared" si="6"/>
        <v>535.82794240124383</v>
      </c>
      <c r="F38" s="81">
        <f t="shared" si="7"/>
        <v>625.13259946811775</v>
      </c>
      <c r="G38" s="2">
        <f>'DD Water_Total'!E45</f>
        <v>21.146196742391272</v>
      </c>
      <c r="H38" s="2">
        <f>'DD Water_Total'!F45</f>
        <v>114.67971830362659</v>
      </c>
      <c r="I38" s="81">
        <f t="shared" si="8"/>
        <v>135.82591504601785</v>
      </c>
      <c r="J38" s="2">
        <f t="shared" si="9"/>
        <v>671.65385744726166</v>
      </c>
      <c r="K38" s="2" cm="1">
        <f t="array" ref="K38">_xlfn.IFS($C$21="Low",'SS Water_CM'!$H55,$C$21="Medium",'SS Water_CM'!$I55,$C$21="High",'SS Water_CM'!$J55)</f>
        <v>282.41638377347368</v>
      </c>
      <c r="L38" s="2">
        <f>'SS Desalin_Water'!$D$11</f>
        <v>315.45000000000005</v>
      </c>
      <c r="M38" s="2">
        <f>IF(B38&gt;=$C$25,"0", 'SS Imported_Water'!$D$14)</f>
        <v>406.53409825</v>
      </c>
      <c r="N38" s="81">
        <f t="shared" si="0"/>
        <v>1004.4004820234736</v>
      </c>
      <c r="O38" s="2">
        <f>'SS NEWater'!$D$12</f>
        <v>247.39999999999998</v>
      </c>
      <c r="P38" s="81">
        <f t="shared" si="10"/>
        <v>247.39999999999998</v>
      </c>
      <c r="Q38" s="2">
        <f t="shared" si="1"/>
        <v>1251.8004820234737</v>
      </c>
      <c r="R38" s="2">
        <f t="shared" si="11"/>
        <v>379.26788255535587</v>
      </c>
      <c r="S38" s="2">
        <f t="shared" si="12"/>
        <v>111.57408495398212</v>
      </c>
      <c r="T38" s="6">
        <f>CEILING(IF(R38&lt;0, -R38/'SS Desalin_Water'!$C$15,0),1)</f>
        <v>0</v>
      </c>
      <c r="U38" s="6" t="str">
        <f t="shared" si="13"/>
        <v/>
      </c>
      <c r="V38" s="2">
        <f>'SS Desalin_Water'!$C$15*T38</f>
        <v>0</v>
      </c>
      <c r="W38" s="6">
        <f>CEILING(IF(S38&lt;0, -S38/'SS NEWater'!$C$15,0),1)</f>
        <v>0</v>
      </c>
      <c r="X38" s="6" t="str">
        <f t="shared" si="14"/>
        <v/>
      </c>
      <c r="Y38" s="2">
        <f>'SS NEWater'!$C$15*W38</f>
        <v>0</v>
      </c>
      <c r="Z38" s="85">
        <f t="shared" si="2"/>
        <v>1004.4004820234736</v>
      </c>
      <c r="AA38" s="85">
        <f t="shared" si="3"/>
        <v>247.39999999999998</v>
      </c>
      <c r="AB38" s="2">
        <f t="shared" si="4"/>
        <v>379.26788255535587</v>
      </c>
      <c r="AC38" s="2">
        <f t="shared" si="5"/>
        <v>111.57408495398212</v>
      </c>
    </row>
    <row r="39" spans="2:29">
      <c r="B39" s="6">
        <v>2025</v>
      </c>
      <c r="C39" s="2">
        <f>'DD Pot_Water'!$E46</f>
        <v>314.54526185801865</v>
      </c>
      <c r="D39" s="2">
        <f>'DD Water_Total'!D46</f>
        <v>218.84505918585168</v>
      </c>
      <c r="E39" s="81">
        <f t="shared" si="6"/>
        <v>533.39032104387036</v>
      </c>
      <c r="F39" s="81">
        <f t="shared" si="7"/>
        <v>622.28870788451547</v>
      </c>
      <c r="G39" s="2">
        <f>'DD Water_Total'!E46</f>
        <v>22.108267780917092</v>
      </c>
      <c r="H39" s="2">
        <f>'DD Water_Total'!F46</f>
        <v>119.89720667897319</v>
      </c>
      <c r="I39" s="81">
        <f t="shared" si="8"/>
        <v>142.00547445989028</v>
      </c>
      <c r="J39" s="2">
        <f t="shared" si="9"/>
        <v>675.39579550376061</v>
      </c>
      <c r="K39" s="2" cm="1">
        <f t="array" ref="K39">_xlfn.IFS($C$21="Low",'SS Water_CM'!$H56,$C$21="Medium",'SS Water_CM'!$I56,$C$21="High",'SS Water_CM'!$J56)</f>
        <v>285.06818080421044</v>
      </c>
      <c r="L39" s="2">
        <f>'SS Desalin_Water'!$D$11</f>
        <v>315.45000000000005</v>
      </c>
      <c r="M39" s="2">
        <f>IF(B39&gt;=$C$25,"0", 'SS Imported_Water'!$D$14)</f>
        <v>406.53409825</v>
      </c>
      <c r="N39" s="81">
        <f t="shared" si="0"/>
        <v>1007.0522790542104</v>
      </c>
      <c r="O39" s="2">
        <f>'SS NEWater'!$D$12</f>
        <v>247.39999999999998</v>
      </c>
      <c r="P39" s="81">
        <f t="shared" si="10"/>
        <v>247.39999999999998</v>
      </c>
      <c r="Q39" s="2">
        <f t="shared" si="1"/>
        <v>1254.4522790542105</v>
      </c>
      <c r="R39" s="2">
        <f t="shared" si="11"/>
        <v>384.76357116969496</v>
      </c>
      <c r="S39" s="2">
        <f t="shared" si="12"/>
        <v>105.3945255401097</v>
      </c>
      <c r="T39" s="6">
        <f>CEILING(IF(R39&lt;0, -R39/'SS Desalin_Water'!$C$15,0),1)</f>
        <v>0</v>
      </c>
      <c r="U39" s="6" t="str">
        <f t="shared" si="13"/>
        <v/>
      </c>
      <c r="V39" s="2">
        <f>'SS Desalin_Water'!$C$15*T39</f>
        <v>0</v>
      </c>
      <c r="W39" s="6">
        <f>CEILING(IF(S39&lt;0, -S39/'SS NEWater'!$C$15,0),1)</f>
        <v>0</v>
      </c>
      <c r="X39" s="6" t="str">
        <f t="shared" si="14"/>
        <v/>
      </c>
      <c r="Y39" s="2">
        <f>'SS NEWater'!$C$15*W39</f>
        <v>0</v>
      </c>
      <c r="Z39" s="85">
        <f t="shared" si="2"/>
        <v>1007.0522790542104</v>
      </c>
      <c r="AA39" s="85">
        <f t="shared" si="3"/>
        <v>247.39999999999998</v>
      </c>
      <c r="AB39" s="2">
        <f t="shared" si="4"/>
        <v>384.76357116969496</v>
      </c>
      <c r="AC39" s="2">
        <f t="shared" si="5"/>
        <v>105.3945255401097</v>
      </c>
    </row>
    <row r="40" spans="2:29">
      <c r="B40" s="6">
        <v>2026</v>
      </c>
      <c r="C40" s="2">
        <f>'DD Pot_Water'!$E47</f>
        <v>313.00190768804413</v>
      </c>
      <c r="D40" s="2">
        <f>'DD Water_Total'!D47</f>
        <v>217.77126957389672</v>
      </c>
      <c r="E40" s="81">
        <f t="shared" si="6"/>
        <v>530.77317726194087</v>
      </c>
      <c r="F40" s="81">
        <f t="shared" si="7"/>
        <v>619.23537347226431</v>
      </c>
      <c r="G40" s="2">
        <f>'DD Water_Total'!E47</f>
        <v>23.074501668707477</v>
      </c>
      <c r="H40" s="2">
        <f>'DD Water_Total'!F47</f>
        <v>125.13727095233192</v>
      </c>
      <c r="I40" s="81">
        <f t="shared" si="8"/>
        <v>148.21177262103939</v>
      </c>
      <c r="J40" s="2">
        <f t="shared" si="9"/>
        <v>678.98494988298023</v>
      </c>
      <c r="K40" s="2" cm="1">
        <f t="array" ref="K40">_xlfn.IFS($C$21="Low",'SS Water_CM'!$H57,$C$21="Medium",'SS Water_CM'!$I57,$C$21="High",'SS Water_CM'!$J57)</f>
        <v>287.71997783494726</v>
      </c>
      <c r="L40" s="2">
        <f>'SS Desalin_Water'!$D$11</f>
        <v>315.45000000000005</v>
      </c>
      <c r="M40" s="2">
        <f>IF(B40&gt;=$C$25,"0", 'SS Imported_Water'!$D$14)</f>
        <v>406.53409825</v>
      </c>
      <c r="N40" s="81">
        <f t="shared" si="0"/>
        <v>1009.7040760849472</v>
      </c>
      <c r="O40" s="2">
        <f>'SS NEWater'!$D$12</f>
        <v>247.39999999999998</v>
      </c>
      <c r="P40" s="81">
        <f t="shared" si="10"/>
        <v>247.39999999999998</v>
      </c>
      <c r="Q40" s="2">
        <f t="shared" si="1"/>
        <v>1257.1040760849473</v>
      </c>
      <c r="R40" s="2">
        <f t="shared" si="11"/>
        <v>390.46870261268293</v>
      </c>
      <c r="S40" s="2">
        <f t="shared" si="12"/>
        <v>99.18822737896059</v>
      </c>
      <c r="T40" s="6">
        <f>CEILING(IF(R40&lt;0, -R40/'SS Desalin_Water'!$C$15,0),1)</f>
        <v>0</v>
      </c>
      <c r="U40" s="6" t="str">
        <f t="shared" si="13"/>
        <v/>
      </c>
      <c r="V40" s="2">
        <f>'SS Desalin_Water'!$C$15*T40</f>
        <v>0</v>
      </c>
      <c r="W40" s="6">
        <f>CEILING(IF(S40&lt;0, -S40/'SS NEWater'!$C$15,0),1)</f>
        <v>0</v>
      </c>
      <c r="X40" s="6" t="str">
        <f t="shared" si="14"/>
        <v/>
      </c>
      <c r="Y40" s="2">
        <f>'SS NEWater'!$C$15*W40</f>
        <v>0</v>
      </c>
      <c r="Z40" s="85">
        <f t="shared" si="2"/>
        <v>1009.7040760849472</v>
      </c>
      <c r="AA40" s="85">
        <f t="shared" si="3"/>
        <v>247.39999999999998</v>
      </c>
      <c r="AB40" s="2">
        <f t="shared" si="4"/>
        <v>390.46870261268293</v>
      </c>
      <c r="AC40" s="2">
        <f t="shared" si="5"/>
        <v>99.18822737896059</v>
      </c>
    </row>
    <row r="41" spans="2:29">
      <c r="B41" s="6">
        <v>2027</v>
      </c>
      <c r="C41" s="2">
        <f>'DD Pot_Water'!$E48</f>
        <v>311.35136547243917</v>
      </c>
      <c r="D41" s="2">
        <f>'DD Water_Total'!D48</f>
        <v>216.62290381334083</v>
      </c>
      <c r="E41" s="81">
        <f t="shared" si="6"/>
        <v>527.97426928578</v>
      </c>
      <c r="F41" s="81">
        <f t="shared" si="7"/>
        <v>615.96998083340998</v>
      </c>
      <c r="G41" s="2">
        <f>'DD Water_Total'!E48</f>
        <v>24.044055770207468</v>
      </c>
      <c r="H41" s="2">
        <f>'DD Water_Total'!F48</f>
        <v>130.39534135594488</v>
      </c>
      <c r="I41" s="81">
        <f t="shared" si="8"/>
        <v>154.43939712615236</v>
      </c>
      <c r="J41" s="2">
        <f t="shared" si="9"/>
        <v>682.41366641193235</v>
      </c>
      <c r="K41" s="2" cm="1">
        <f t="array" ref="K41">_xlfn.IFS($C$21="Low",'SS Water_CM'!$H58,$C$21="Medium",'SS Water_CM'!$I58,$C$21="High",'SS Water_CM'!$J58)</f>
        <v>290.37177486568419</v>
      </c>
      <c r="L41" s="2">
        <f>'SS Desalin_Water'!$D$11</f>
        <v>315.45000000000005</v>
      </c>
      <c r="M41" s="2">
        <f>IF(B41&gt;=$C$25,"0", 'SS Imported_Water'!$D$14)</f>
        <v>406.53409825</v>
      </c>
      <c r="N41" s="81">
        <f t="shared" si="0"/>
        <v>1012.3558731156843</v>
      </c>
      <c r="O41" s="2">
        <f>'SS NEWater'!$D$12</f>
        <v>247.39999999999998</v>
      </c>
      <c r="P41" s="81">
        <f t="shared" si="10"/>
        <v>247.39999999999998</v>
      </c>
      <c r="Q41" s="2">
        <f t="shared" si="1"/>
        <v>1259.7558731156842</v>
      </c>
      <c r="R41" s="2">
        <f t="shared" si="11"/>
        <v>396.38589228227431</v>
      </c>
      <c r="S41" s="2">
        <f t="shared" si="12"/>
        <v>92.96060287384762</v>
      </c>
      <c r="T41" s="6">
        <f>CEILING(IF(R41&lt;0, -R41/'SS Desalin_Water'!$C$15,0),1)</f>
        <v>0</v>
      </c>
      <c r="U41" s="6" t="str">
        <f t="shared" si="13"/>
        <v/>
      </c>
      <c r="V41" s="2">
        <f>'SS Desalin_Water'!$C$15*T41</f>
        <v>0</v>
      </c>
      <c r="W41" s="6">
        <f>CEILING(IF(S41&lt;0, -S41/'SS NEWater'!$C$15,0),1)</f>
        <v>0</v>
      </c>
      <c r="X41" s="6" t="str">
        <f t="shared" si="14"/>
        <v/>
      </c>
      <c r="Y41" s="2">
        <f>'SS NEWater'!$C$15*W41</f>
        <v>0</v>
      </c>
      <c r="Z41" s="85">
        <f t="shared" si="2"/>
        <v>1012.3558731156843</v>
      </c>
      <c r="AA41" s="85">
        <f t="shared" si="3"/>
        <v>247.39999999999998</v>
      </c>
      <c r="AB41" s="2">
        <f t="shared" si="4"/>
        <v>396.38589228227431</v>
      </c>
      <c r="AC41" s="2">
        <f t="shared" si="5"/>
        <v>92.96060287384762</v>
      </c>
    </row>
    <row r="42" spans="2:29">
      <c r="B42" s="6">
        <v>2028</v>
      </c>
      <c r="C42" s="2">
        <f>'DD Pot_Water'!$E49</f>
        <v>309.5922992391923</v>
      </c>
      <c r="D42" s="2">
        <f>'DD Water_Total'!D49</f>
        <v>215.39903240083646</v>
      </c>
      <c r="E42" s="81">
        <f t="shared" si="6"/>
        <v>524.99133164002876</v>
      </c>
      <c r="F42" s="81">
        <f t="shared" si="7"/>
        <v>612.48988691336683</v>
      </c>
      <c r="G42" s="2">
        <f>'DD Water_Total'!E49</f>
        <v>25.016036335011648</v>
      </c>
      <c r="H42" s="2">
        <f>'DD Water_Total'!F49</f>
        <v>135.66657091680909</v>
      </c>
      <c r="I42" s="81">
        <f t="shared" si="8"/>
        <v>160.68260725182074</v>
      </c>
      <c r="J42" s="2">
        <f t="shared" si="9"/>
        <v>685.6739388918495</v>
      </c>
      <c r="K42" s="2" cm="1">
        <f t="array" ref="K42">_xlfn.IFS($C$21="Low",'SS Water_CM'!$H59,$C$21="Medium",'SS Water_CM'!$I59,$C$21="High",'SS Water_CM'!$J59)</f>
        <v>293.02357189642095</v>
      </c>
      <c r="L42" s="2">
        <f>'SS Desalin_Water'!$D$11</f>
        <v>315.45000000000005</v>
      </c>
      <c r="M42" s="2">
        <f>IF(B42&gt;=$C$25,"0", 'SS Imported_Water'!$D$14)</f>
        <v>406.53409825</v>
      </c>
      <c r="N42" s="81">
        <f t="shared" si="0"/>
        <v>1015.0076701464209</v>
      </c>
      <c r="O42" s="2">
        <f>'SS NEWater'!$D$12</f>
        <v>247.39999999999998</v>
      </c>
      <c r="P42" s="81">
        <f t="shared" ref="P42:P74" si="15">O42</f>
        <v>247.39999999999998</v>
      </c>
      <c r="Q42" s="2">
        <f t="shared" si="1"/>
        <v>1262.407670146421</v>
      </c>
      <c r="R42" s="2">
        <f t="shared" si="11"/>
        <v>402.51778323305405</v>
      </c>
      <c r="S42" s="2">
        <f t="shared" si="12"/>
        <v>86.717392748179236</v>
      </c>
      <c r="T42" s="6">
        <f>CEILING(IF(R42&lt;0, -R42/'SS Desalin_Water'!$C$15,0),1)</f>
        <v>0</v>
      </c>
      <c r="U42" s="6" t="str">
        <f t="shared" si="13"/>
        <v/>
      </c>
      <c r="V42" s="2">
        <f>'SS Desalin_Water'!$C$15*T42</f>
        <v>0</v>
      </c>
      <c r="W42" s="6">
        <f>CEILING(IF(S42&lt;0, -S42/'SS NEWater'!$C$15,0),1)</f>
        <v>0</v>
      </c>
      <c r="X42" s="6" t="str">
        <f t="shared" si="14"/>
        <v/>
      </c>
      <c r="Y42" s="2">
        <f>'SS NEWater'!$C$15*W42</f>
        <v>0</v>
      </c>
      <c r="Z42" s="85">
        <f t="shared" si="2"/>
        <v>1015.0076701464209</v>
      </c>
      <c r="AA42" s="85">
        <f t="shared" si="3"/>
        <v>247.39999999999998</v>
      </c>
      <c r="AB42" s="2">
        <f t="shared" si="4"/>
        <v>402.51778323305405</v>
      </c>
      <c r="AC42" s="2">
        <f t="shared" si="5"/>
        <v>86.717392748179236</v>
      </c>
    </row>
    <row r="43" spans="2:29">
      <c r="B43" s="6">
        <v>2029</v>
      </c>
      <c r="C43" s="2">
        <f>'DD Pot_Water'!$E50</f>
        <v>307.72335890069917</v>
      </c>
      <c r="D43" s="2">
        <f>'DD Water_Total'!D50</f>
        <v>214.09871601210327</v>
      </c>
      <c r="E43" s="81">
        <f t="shared" si="6"/>
        <v>521.82207491280246</v>
      </c>
      <c r="F43" s="81">
        <f t="shared" si="7"/>
        <v>608.79242073160287</v>
      </c>
      <c r="G43" s="2">
        <f>'DD Water_Total'!E50</f>
        <v>25.98949558230094</v>
      </c>
      <c r="H43" s="2">
        <f>'DD Water_Total'!F50</f>
        <v>140.9458196450403</v>
      </c>
      <c r="I43" s="81">
        <f t="shared" si="8"/>
        <v>166.93531522734125</v>
      </c>
      <c r="J43" s="2">
        <f t="shared" si="9"/>
        <v>688.75739014014368</v>
      </c>
      <c r="K43" s="2" cm="1">
        <f t="array" ref="K43">_xlfn.IFS($C$21="Low",'SS Water_CM'!$H60,$C$21="Medium",'SS Water_CM'!$I60,$C$21="High",'SS Water_CM'!$J60)</f>
        <v>295.67536892715771</v>
      </c>
      <c r="L43" s="2">
        <f>'SS Desalin_Water'!$D$11</f>
        <v>315.45000000000005</v>
      </c>
      <c r="M43" s="2">
        <f>IF(B43&gt;=$C$25,"0", 'SS Imported_Water'!$D$14)</f>
        <v>406.53409825</v>
      </c>
      <c r="N43" s="81">
        <f t="shared" si="0"/>
        <v>1017.6594671771577</v>
      </c>
      <c r="O43" s="2">
        <f>'SS NEWater'!$D$12</f>
        <v>247.39999999999998</v>
      </c>
      <c r="P43" s="81">
        <f t="shared" si="15"/>
        <v>247.39999999999998</v>
      </c>
      <c r="Q43" s="2">
        <f t="shared" si="1"/>
        <v>1265.0594671771578</v>
      </c>
      <c r="R43" s="2">
        <f t="shared" si="11"/>
        <v>408.86704644555482</v>
      </c>
      <c r="S43" s="2">
        <f t="shared" si="12"/>
        <v>80.464684772658728</v>
      </c>
      <c r="T43" s="6">
        <f>CEILING(IF(R43&lt;0, -R43/'SS Desalin_Water'!$C$15,0),1)</f>
        <v>0</v>
      </c>
      <c r="U43" s="6" t="str">
        <f t="shared" si="13"/>
        <v/>
      </c>
      <c r="V43" s="2">
        <f>'SS Desalin_Water'!$C$15*T43</f>
        <v>0</v>
      </c>
      <c r="W43" s="6">
        <f>CEILING(IF(S43&lt;0, -S43/'SS NEWater'!$C$15,0),1)</f>
        <v>0</v>
      </c>
      <c r="X43" s="6" t="str">
        <f t="shared" si="14"/>
        <v/>
      </c>
      <c r="Y43" s="2">
        <f>'SS NEWater'!$C$15*W43</f>
        <v>0</v>
      </c>
      <c r="Z43" s="85">
        <f t="shared" si="2"/>
        <v>1017.6594671771577</v>
      </c>
      <c r="AA43" s="85">
        <f t="shared" si="3"/>
        <v>247.39999999999998</v>
      </c>
      <c r="AB43" s="2">
        <f t="shared" si="4"/>
        <v>408.86704644555482</v>
      </c>
      <c r="AC43" s="2">
        <f t="shared" si="5"/>
        <v>80.464684772658728</v>
      </c>
    </row>
    <row r="44" spans="2:29">
      <c r="B44" s="6">
        <v>2030</v>
      </c>
      <c r="C44" s="2">
        <f>'DD Pot_Water'!$E51</f>
        <v>305.74318011637092</v>
      </c>
      <c r="D44" s="2">
        <f>'DD Water_Total'!D51</f>
        <v>212.72100540633838</v>
      </c>
      <c r="E44" s="81">
        <f t="shared" si="6"/>
        <v>518.46418552270927</v>
      </c>
      <c r="F44" s="81">
        <f t="shared" si="7"/>
        <v>604.87488310982746</v>
      </c>
      <c r="G44" s="2">
        <f>'DD Water_Total'!E51</f>
        <v>26.96342859548227</v>
      </c>
      <c r="H44" s="2">
        <f>'DD Water_Total'!F51</f>
        <v>146.22763769293232</v>
      </c>
      <c r="I44" s="81">
        <f t="shared" si="8"/>
        <v>173.19106628841459</v>
      </c>
      <c r="J44" s="2">
        <f t="shared" si="9"/>
        <v>691.65525181112389</v>
      </c>
      <c r="K44" s="2" cm="1">
        <f t="array" ref="K44">_xlfn.IFS($C$21="Low",'SS Water_CM'!$H61,$C$21="Medium",'SS Water_CM'!$I61,$C$21="High",'SS Water_CM'!$J61)</f>
        <v>298.32716595789458</v>
      </c>
      <c r="L44" s="2">
        <f>'SS Desalin_Water'!$D$11</f>
        <v>315.45000000000005</v>
      </c>
      <c r="M44" s="2">
        <f>IF(B44&gt;=$C$25,"0", 'SS Imported_Water'!$D$14)</f>
        <v>406.53409825</v>
      </c>
      <c r="N44" s="81">
        <f t="shared" si="0"/>
        <v>1020.3112642078945</v>
      </c>
      <c r="O44" s="2">
        <f>'SS NEWater'!$D$12</f>
        <v>247.39999999999998</v>
      </c>
      <c r="P44" s="81">
        <f t="shared" si="15"/>
        <v>247.39999999999998</v>
      </c>
      <c r="Q44" s="2">
        <f t="shared" si="1"/>
        <v>1267.7112642078946</v>
      </c>
      <c r="R44" s="2">
        <f t="shared" si="11"/>
        <v>415.43638109806705</v>
      </c>
      <c r="S44" s="2">
        <f t="shared" si="12"/>
        <v>74.208933711585388</v>
      </c>
      <c r="T44" s="6">
        <f>CEILING(IF(R44&lt;0, -R44/'SS Desalin_Water'!$C$15,0),1)</f>
        <v>0</v>
      </c>
      <c r="U44" s="6" t="str">
        <f t="shared" si="13"/>
        <v/>
      </c>
      <c r="V44" s="2">
        <f>'SS Desalin_Water'!$C$15*T44</f>
        <v>0</v>
      </c>
      <c r="W44" s="6">
        <f>CEILING(IF(S44&lt;0, -S44/'SS NEWater'!$C$15,0),1)</f>
        <v>0</v>
      </c>
      <c r="X44" s="6" t="str">
        <f t="shared" si="14"/>
        <v/>
      </c>
      <c r="Y44" s="2">
        <f>'SS NEWater'!$C$15*W44</f>
        <v>0</v>
      </c>
      <c r="Z44" s="85">
        <f t="shared" si="2"/>
        <v>1020.3112642078945</v>
      </c>
      <c r="AA44" s="85">
        <f t="shared" si="3"/>
        <v>247.39999999999998</v>
      </c>
      <c r="AB44" s="2">
        <f t="shared" si="4"/>
        <v>415.43638109806705</v>
      </c>
      <c r="AC44" s="2">
        <f t="shared" si="5"/>
        <v>74.208933711585388</v>
      </c>
    </row>
    <row r="45" spans="2:29">
      <c r="B45" s="6">
        <v>2031</v>
      </c>
      <c r="C45" s="2">
        <f>'DD Pot_Water'!$E52</f>
        <v>308.69676334093418</v>
      </c>
      <c r="D45" s="2">
        <f>'DD Water_Total'!D52</f>
        <v>214.77596274943025</v>
      </c>
      <c r="E45" s="81">
        <f t="shared" si="6"/>
        <v>523.4727260903644</v>
      </c>
      <c r="F45" s="81">
        <f t="shared" si="7"/>
        <v>610.7181804387584</v>
      </c>
      <c r="G45" s="2">
        <f>'DD Water_Total'!E52</f>
        <v>28.401052431151324</v>
      </c>
      <c r="H45" s="2">
        <f>'DD Water_Total'!F52</f>
        <v>154.02413644443607</v>
      </c>
      <c r="I45" s="81">
        <f t="shared" si="8"/>
        <v>182.42518887558739</v>
      </c>
      <c r="J45" s="2">
        <f t="shared" si="9"/>
        <v>705.89791496595183</v>
      </c>
      <c r="K45" s="2" cm="1">
        <f t="array" ref="K45">_xlfn.IFS($C$21="Low",'SS Water_CM'!$H62,$C$21="Medium",'SS Water_CM'!$I62,$C$21="High",'SS Water_CM'!$J62)</f>
        <v>300.97896298863145</v>
      </c>
      <c r="L45" s="2">
        <f>'SS Desalin_Water'!$D$11</f>
        <v>315.45000000000005</v>
      </c>
      <c r="M45" s="2">
        <f>IF(B45&gt;=$C$25,"0", 'SS Imported_Water'!$D$14)</f>
        <v>406.53409825</v>
      </c>
      <c r="N45" s="81">
        <f t="shared" si="0"/>
        <v>1022.9630612386316</v>
      </c>
      <c r="O45" s="2">
        <f>'SS NEWater'!$D$12</f>
        <v>247.39999999999998</v>
      </c>
      <c r="P45" s="81">
        <f t="shared" si="15"/>
        <v>247.39999999999998</v>
      </c>
      <c r="Q45" s="2">
        <f t="shared" si="1"/>
        <v>1270.3630612386314</v>
      </c>
      <c r="R45" s="2">
        <f t="shared" si="11"/>
        <v>412.24488079987316</v>
      </c>
      <c r="S45" s="2">
        <f t="shared" si="12"/>
        <v>64.974811124412582</v>
      </c>
      <c r="T45" s="6">
        <f>CEILING(IF(R45&lt;0, -R45/'SS Desalin_Water'!$C$15,0),1)</f>
        <v>0</v>
      </c>
      <c r="U45" s="6" t="str">
        <f t="shared" si="13"/>
        <v/>
      </c>
      <c r="V45" s="2">
        <f>'SS Desalin_Water'!$C$15*T45</f>
        <v>0</v>
      </c>
      <c r="W45" s="6">
        <f>CEILING(IF(S45&lt;0, -S45/'SS NEWater'!$C$15,0),1)</f>
        <v>0</v>
      </c>
      <c r="X45" s="6" t="str">
        <f t="shared" si="14"/>
        <v/>
      </c>
      <c r="Y45" s="2">
        <f>'SS NEWater'!$C$15*W45</f>
        <v>0</v>
      </c>
      <c r="Z45" s="85">
        <f t="shared" si="2"/>
        <v>1022.9630612386316</v>
      </c>
      <c r="AA45" s="85">
        <f t="shared" si="3"/>
        <v>247.39999999999998</v>
      </c>
      <c r="AB45" s="2">
        <f t="shared" si="4"/>
        <v>412.24488079987316</v>
      </c>
      <c r="AC45" s="2">
        <f t="shared" si="5"/>
        <v>64.974811124412582</v>
      </c>
    </row>
    <row r="46" spans="2:29">
      <c r="B46" s="6">
        <v>2032</v>
      </c>
      <c r="C46" s="2">
        <f>'DD Pot_Water'!$E53</f>
        <v>311.65946270442731</v>
      </c>
      <c r="D46" s="2">
        <f>'DD Water_Total'!D53</f>
        <v>216.83726265178325</v>
      </c>
      <c r="E46" s="81">
        <f t="shared" si="6"/>
        <v>528.49672535621062</v>
      </c>
      <c r="F46" s="81">
        <f t="shared" si="7"/>
        <v>616.57951291557902</v>
      </c>
      <c r="G46" s="2">
        <f>'DD Water_Total'!E53</f>
        <v>29.888092216793975</v>
      </c>
      <c r="H46" s="2">
        <f>'DD Water_Total'!F53</f>
        <v>162.08862699095218</v>
      </c>
      <c r="I46" s="81">
        <f t="shared" si="8"/>
        <v>191.97671920774616</v>
      </c>
      <c r="J46" s="2">
        <f t="shared" si="9"/>
        <v>720.47344456395672</v>
      </c>
      <c r="K46" s="2" cm="1">
        <f t="array" ref="K46">_xlfn.IFS($C$21="Low",'SS Water_CM'!$H63,$C$21="Medium",'SS Water_CM'!$I63,$C$21="High",'SS Water_CM'!$J63)</f>
        <v>303.63076001936827</v>
      </c>
      <c r="L46" s="2">
        <f>'SS Desalin_Water'!$D$11</f>
        <v>315.45000000000005</v>
      </c>
      <c r="M46" s="2">
        <f>IF(B46&gt;=$C$25,"0", 'SS Imported_Water'!$D$14)</f>
        <v>406.53409825</v>
      </c>
      <c r="N46" s="81">
        <f t="shared" si="0"/>
        <v>1025.6148582693684</v>
      </c>
      <c r="O46" s="2">
        <f>'SS NEWater'!$D$12</f>
        <v>247.39999999999998</v>
      </c>
      <c r="P46" s="81">
        <f t="shared" si="15"/>
        <v>247.39999999999998</v>
      </c>
      <c r="Q46" s="2">
        <f t="shared" si="1"/>
        <v>1273.0148582693682</v>
      </c>
      <c r="R46" s="2">
        <f t="shared" si="11"/>
        <v>409.03534535378935</v>
      </c>
      <c r="S46" s="2">
        <f t="shared" si="12"/>
        <v>55.42328079225382</v>
      </c>
      <c r="T46" s="6">
        <f>CEILING(IF(R46&lt;0, -R46/'SS Desalin_Water'!$C$15,0),1)</f>
        <v>0</v>
      </c>
      <c r="U46" s="6" t="str">
        <f t="shared" si="13"/>
        <v/>
      </c>
      <c r="V46" s="2">
        <f>'SS Desalin_Water'!$C$15*T46</f>
        <v>0</v>
      </c>
      <c r="W46" s="6">
        <f>CEILING(IF(S46&lt;0, -S46/'SS NEWater'!$C$15,0),1)</f>
        <v>0</v>
      </c>
      <c r="X46" s="6" t="str">
        <f t="shared" si="14"/>
        <v/>
      </c>
      <c r="Y46" s="2">
        <f>'SS NEWater'!$C$15*W46</f>
        <v>0</v>
      </c>
      <c r="Z46" s="85">
        <f t="shared" si="2"/>
        <v>1025.6148582693684</v>
      </c>
      <c r="AA46" s="85">
        <f t="shared" si="3"/>
        <v>247.39999999999998</v>
      </c>
      <c r="AB46" s="2">
        <f t="shared" si="4"/>
        <v>409.03534535378935</v>
      </c>
      <c r="AC46" s="2">
        <f t="shared" si="5"/>
        <v>55.42328079225382</v>
      </c>
    </row>
    <row r="47" spans="2:29">
      <c r="B47" s="6">
        <v>2033</v>
      </c>
      <c r="C47" s="2">
        <f>'DD Pot_Water'!$E54</f>
        <v>314.631273913195</v>
      </c>
      <c r="D47" s="2">
        <f>'DD Water_Total'!D54</f>
        <v>218.90490212608412</v>
      </c>
      <c r="E47" s="81">
        <f t="shared" si="6"/>
        <v>533.5361760392791</v>
      </c>
      <c r="F47" s="81">
        <f t="shared" si="7"/>
        <v>622.45887204582561</v>
      </c>
      <c r="G47" s="2">
        <f>'DD Water_Total'!E54</f>
        <v>31.426268064636691</v>
      </c>
      <c r="H47" s="2">
        <f>'DD Water_Total'!F54</f>
        <v>170.43043781778636</v>
      </c>
      <c r="I47" s="81">
        <f t="shared" si="8"/>
        <v>201.85670588242306</v>
      </c>
      <c r="J47" s="2">
        <f t="shared" si="9"/>
        <v>735.39288192170216</v>
      </c>
      <c r="K47" s="2" cm="1">
        <f t="array" ref="K47">_xlfn.IFS($C$21="Low",'SS Water_CM'!$H64,$C$21="Medium",'SS Water_CM'!$I64,$C$21="High",'SS Water_CM'!$J64)</f>
        <v>306.28255705010503</v>
      </c>
      <c r="L47" s="2">
        <f>'SS Desalin_Water'!$D$11</f>
        <v>315.45000000000005</v>
      </c>
      <c r="M47" s="2">
        <f>IF(B47&gt;=$C$25,"0", 'SS Imported_Water'!$D$14)</f>
        <v>406.53409825</v>
      </c>
      <c r="N47" s="81">
        <f t="shared" si="0"/>
        <v>1028.266655300105</v>
      </c>
      <c r="O47" s="2">
        <f>'SS NEWater'!$D$12</f>
        <v>247.39999999999998</v>
      </c>
      <c r="P47" s="81">
        <f t="shared" si="15"/>
        <v>247.39999999999998</v>
      </c>
      <c r="Q47" s="2">
        <f t="shared" si="1"/>
        <v>1275.666655300105</v>
      </c>
      <c r="R47" s="2">
        <f t="shared" si="11"/>
        <v>405.80778325427934</v>
      </c>
      <c r="S47" s="2">
        <f t="shared" si="12"/>
        <v>45.54329411757692</v>
      </c>
      <c r="T47" s="6">
        <f>CEILING(IF(R47&lt;0, -R47/'SS Desalin_Water'!$C$15,0),1)</f>
        <v>0</v>
      </c>
      <c r="U47" s="6" t="str">
        <f t="shared" si="13"/>
        <v/>
      </c>
      <c r="V47" s="2">
        <f>'SS Desalin_Water'!$C$15*T47</f>
        <v>0</v>
      </c>
      <c r="W47" s="6">
        <f>CEILING(IF(S47&lt;0, -S47/'SS NEWater'!$C$15,0),1)</f>
        <v>0</v>
      </c>
      <c r="X47" s="6" t="str">
        <f t="shared" si="14"/>
        <v/>
      </c>
      <c r="Y47" s="2">
        <f>'SS NEWater'!$C$15*W47</f>
        <v>0</v>
      </c>
      <c r="Z47" s="85">
        <f t="shared" si="2"/>
        <v>1028.266655300105</v>
      </c>
      <c r="AA47" s="85">
        <f t="shared" si="3"/>
        <v>247.39999999999998</v>
      </c>
      <c r="AB47" s="2">
        <f t="shared" si="4"/>
        <v>405.80778325427934</v>
      </c>
      <c r="AC47" s="2">
        <f t="shared" si="5"/>
        <v>45.54329411757692</v>
      </c>
    </row>
    <row r="48" spans="2:29">
      <c r="B48" s="6">
        <v>2034</v>
      </c>
      <c r="C48" s="2">
        <f>'DD Pot_Water'!$E55</f>
        <v>317.6121920817701</v>
      </c>
      <c r="D48" s="2">
        <f>'DD Water_Total'!D55</f>
        <v>220.97887777326608</v>
      </c>
      <c r="E48" s="81">
        <f t="shared" si="6"/>
        <v>538.59106985503615</v>
      </c>
      <c r="F48" s="81">
        <f t="shared" si="7"/>
        <v>628.35624816420886</v>
      </c>
      <c r="G48" s="2">
        <f>'DD Water_Total'!E55</f>
        <v>33.017376971676427</v>
      </c>
      <c r="H48" s="2">
        <f>'DD Water_Total'!F55</f>
        <v>179.05931437051035</v>
      </c>
      <c r="I48" s="81">
        <f t="shared" si="8"/>
        <v>212.07669134218679</v>
      </c>
      <c r="J48" s="2">
        <f t="shared" si="9"/>
        <v>750.66776119722294</v>
      </c>
      <c r="K48" s="2" cm="1">
        <f t="array" ref="K48">_xlfn.IFS($C$21="Low",'SS Water_CM'!$H65,$C$21="Medium",'SS Water_CM'!$I65,$C$21="High",'SS Water_CM'!$J65)</f>
        <v>308.93435408084179</v>
      </c>
      <c r="L48" s="2">
        <f>'SS Desalin_Water'!$D$11</f>
        <v>315.45000000000005</v>
      </c>
      <c r="M48" s="2">
        <f>IF(B48&gt;=$C$25,"0", 'SS Imported_Water'!$D$14)</f>
        <v>406.53409825</v>
      </c>
      <c r="N48" s="81">
        <f t="shared" si="0"/>
        <v>1030.9184523308418</v>
      </c>
      <c r="O48" s="2">
        <f>'SS NEWater'!$D$12</f>
        <v>247.39999999999998</v>
      </c>
      <c r="P48" s="81">
        <f t="shared" si="15"/>
        <v>247.39999999999998</v>
      </c>
      <c r="Q48" s="2">
        <f t="shared" si="1"/>
        <v>1278.3184523308419</v>
      </c>
      <c r="R48" s="2">
        <f t="shared" si="11"/>
        <v>402.56220416663291</v>
      </c>
      <c r="S48" s="2">
        <f t="shared" si="12"/>
        <v>35.323308657813186</v>
      </c>
      <c r="T48" s="6">
        <f>CEILING(IF(R48&lt;0, -R48/'SS Desalin_Water'!$C$15,0),1)</f>
        <v>0</v>
      </c>
      <c r="U48" s="6" t="str">
        <f t="shared" si="13"/>
        <v/>
      </c>
      <c r="V48" s="2">
        <f>'SS Desalin_Water'!$C$15*T48</f>
        <v>0</v>
      </c>
      <c r="W48" s="6">
        <f>CEILING(IF(S48&lt;0, -S48/'SS NEWater'!$C$15,0),1)</f>
        <v>0</v>
      </c>
      <c r="X48" s="6" t="str">
        <f t="shared" si="14"/>
        <v/>
      </c>
      <c r="Y48" s="2">
        <f>'SS NEWater'!$C$15*W48</f>
        <v>0</v>
      </c>
      <c r="Z48" s="85">
        <f t="shared" si="2"/>
        <v>1030.9184523308418</v>
      </c>
      <c r="AA48" s="85">
        <f t="shared" si="3"/>
        <v>247.39999999999998</v>
      </c>
      <c r="AB48" s="2">
        <f t="shared" si="4"/>
        <v>402.56220416663291</v>
      </c>
      <c r="AC48" s="2">
        <f t="shared" si="5"/>
        <v>35.323308657813186</v>
      </c>
    </row>
    <row r="49" spans="2:29">
      <c r="B49" s="6">
        <v>2035</v>
      </c>
      <c r="C49" s="2">
        <f>'DD Pot_Water'!$E56</f>
        <v>320.60221172412639</v>
      </c>
      <c r="D49" s="2">
        <f>'DD Water_Total'!D56</f>
        <v>223.05918577642299</v>
      </c>
      <c r="E49" s="81">
        <f t="shared" si="6"/>
        <v>543.66139750054936</v>
      </c>
      <c r="F49" s="81">
        <f t="shared" si="7"/>
        <v>634.27163041730762</v>
      </c>
      <c r="G49" s="2">
        <f>'DD Water_Total'!E56</f>
        <v>34.663297160552261</v>
      </c>
      <c r="H49" s="2">
        <f>'DD Water_Total'!F56</f>
        <v>187.98544259630816</v>
      </c>
      <c r="I49" s="81">
        <f t="shared" si="8"/>
        <v>222.64873975686044</v>
      </c>
      <c r="J49" s="2">
        <f t="shared" si="9"/>
        <v>766.31013725740979</v>
      </c>
      <c r="K49" s="2" cm="1">
        <f t="array" ref="K49">_xlfn.IFS($C$21="Low",'SS Water_CM'!$H66,$C$21="Medium",'SS Water_CM'!$I66,$C$21="High",'SS Water_CM'!$J66)</f>
        <v>311.58615111157866</v>
      </c>
      <c r="L49" s="2">
        <f>'SS Desalin_Water'!$D$11</f>
        <v>315.45000000000005</v>
      </c>
      <c r="M49" s="2">
        <f>IF(B49&gt;=$C$25,"0", 'SS Imported_Water'!$D$14)</f>
        <v>406.53409825</v>
      </c>
      <c r="N49" s="81">
        <f t="shared" si="0"/>
        <v>1033.5702493615786</v>
      </c>
      <c r="O49" s="2">
        <f>'SS NEWater'!$D$12</f>
        <v>247.39999999999998</v>
      </c>
      <c r="P49" s="81">
        <f t="shared" si="15"/>
        <v>247.39999999999998</v>
      </c>
      <c r="Q49" s="2">
        <f t="shared" si="1"/>
        <v>1280.9702493615787</v>
      </c>
      <c r="R49" s="2">
        <f t="shared" si="11"/>
        <v>399.29861894427097</v>
      </c>
      <c r="S49" s="2">
        <f t="shared" si="12"/>
        <v>24.751260243139541</v>
      </c>
      <c r="T49" s="6">
        <f>CEILING(IF(R49&lt;0, -R49/'SS Desalin_Water'!$C$15,0),1)</f>
        <v>0</v>
      </c>
      <c r="U49" s="6" t="str">
        <f t="shared" si="13"/>
        <v/>
      </c>
      <c r="V49" s="2">
        <f>'SS Desalin_Water'!$C$15*T49</f>
        <v>0</v>
      </c>
      <c r="W49" s="6">
        <f>CEILING(IF(S49&lt;0, -S49/'SS NEWater'!$C$15,0),1)</f>
        <v>0</v>
      </c>
      <c r="X49" s="6" t="str">
        <f t="shared" si="14"/>
        <v/>
      </c>
      <c r="Y49" s="2">
        <f>'SS NEWater'!$C$15*W49</f>
        <v>0</v>
      </c>
      <c r="Z49" s="85">
        <f t="shared" si="2"/>
        <v>1033.5702493615786</v>
      </c>
      <c r="AA49" s="85">
        <f t="shared" si="3"/>
        <v>247.39999999999998</v>
      </c>
      <c r="AB49" s="2">
        <f t="shared" si="4"/>
        <v>399.29861894427097</v>
      </c>
      <c r="AC49" s="2">
        <f t="shared" si="5"/>
        <v>24.751260243139541</v>
      </c>
    </row>
    <row r="50" spans="2:29">
      <c r="B50" s="6">
        <v>2036</v>
      </c>
      <c r="C50" s="2">
        <f>'DD Pot_Water'!$E57</f>
        <v>323.60132674483179</v>
      </c>
      <c r="D50" s="2">
        <f>'DD Water_Total'!D57</f>
        <v>225.14582189465426</v>
      </c>
      <c r="E50" s="81">
        <f t="shared" si="6"/>
        <v>548.74714863948611</v>
      </c>
      <c r="F50" s="81">
        <f t="shared" si="7"/>
        <v>640.20500674606717</v>
      </c>
      <c r="G50" s="2">
        <f>'DD Water_Total'!E57</f>
        <v>36.365992718384227</v>
      </c>
      <c r="H50" s="2">
        <f>'DD Water_Total'!F57</f>
        <v>197.21947410125313</v>
      </c>
      <c r="I50" s="81">
        <f t="shared" si="8"/>
        <v>233.58546681963736</v>
      </c>
      <c r="J50" s="2">
        <f t="shared" si="9"/>
        <v>782.33261545912342</v>
      </c>
      <c r="K50" s="2" cm="1">
        <f t="array" ref="K50">_xlfn.IFS($C$21="Low",'SS Water_CM'!$H67,$C$21="Medium",'SS Water_CM'!$I67,$C$21="High",'SS Water_CM'!$J67)</f>
        <v>314.23794814231559</v>
      </c>
      <c r="L50" s="2">
        <f>'SS Desalin_Water'!$D$11</f>
        <v>315.45000000000005</v>
      </c>
      <c r="M50" s="2">
        <f>IF(B50&gt;=$C$25,"0", 'SS Imported_Water'!$D$14)</f>
        <v>406.53409825</v>
      </c>
      <c r="N50" s="81">
        <f t="shared" si="0"/>
        <v>1036.2220463923156</v>
      </c>
      <c r="O50" s="2">
        <f>'SS NEWater'!$D$12</f>
        <v>247.39999999999998</v>
      </c>
      <c r="P50" s="81">
        <f t="shared" si="15"/>
        <v>247.39999999999998</v>
      </c>
      <c r="Q50" s="2">
        <f t="shared" si="1"/>
        <v>1283.6220463923155</v>
      </c>
      <c r="R50" s="2">
        <f t="shared" si="11"/>
        <v>396.01703964624846</v>
      </c>
      <c r="S50" s="2">
        <f t="shared" si="12"/>
        <v>13.814533180362616</v>
      </c>
      <c r="T50" s="6">
        <f>CEILING(IF(R50&lt;0, -R50/'SS Desalin_Water'!$C$15,0),1)</f>
        <v>0</v>
      </c>
      <c r="U50" s="6" t="str">
        <f t="shared" si="13"/>
        <v/>
      </c>
      <c r="V50" s="2">
        <f>'SS Desalin_Water'!$C$15*T50</f>
        <v>0</v>
      </c>
      <c r="W50" s="6">
        <f>CEILING(IF(S50&lt;0, -S50/'SS NEWater'!$C$15,0),1)</f>
        <v>0</v>
      </c>
      <c r="X50" s="6" t="str">
        <f t="shared" si="14"/>
        <v/>
      </c>
      <c r="Y50" s="2">
        <f>'SS NEWater'!$C$15*W50</f>
        <v>0</v>
      </c>
      <c r="Z50" s="85">
        <f t="shared" si="2"/>
        <v>1036.2220463923156</v>
      </c>
      <c r="AA50" s="85">
        <f t="shared" si="3"/>
        <v>247.39999999999998</v>
      </c>
      <c r="AB50" s="2">
        <f t="shared" si="4"/>
        <v>396.01703964624846</v>
      </c>
      <c r="AC50" s="2">
        <f t="shared" si="5"/>
        <v>13.814533180362616</v>
      </c>
    </row>
    <row r="51" spans="2:29">
      <c r="B51" s="6">
        <v>2037</v>
      </c>
      <c r="C51" s="2">
        <f>'DD Pot_Water'!$E58</f>
        <v>326.60953043010272</v>
      </c>
      <c r="D51" s="2">
        <f>'DD Water_Total'!D58</f>
        <v>227.23878145684083</v>
      </c>
      <c r="E51" s="81">
        <f t="shared" si="6"/>
        <v>553.84831188694352</v>
      </c>
      <c r="F51" s="81">
        <f t="shared" si="7"/>
        <v>646.15636386810081</v>
      </c>
      <c r="G51" s="2">
        <f>'DD Water_Total'!E58</f>
        <v>38.127518557729466</v>
      </c>
      <c r="H51" s="2">
        <f>'DD Water_Total'!F58</f>
        <v>206.77255305448656</v>
      </c>
      <c r="I51" s="81">
        <f t="shared" si="8"/>
        <v>244.90007161221604</v>
      </c>
      <c r="J51" s="2">
        <f t="shared" si="9"/>
        <v>798.74838349915956</v>
      </c>
      <c r="K51" s="2" cm="1">
        <f t="array" ref="K51">_xlfn.IFS($C$21="Low",'SS Water_CM'!$H68,$C$21="Medium",'SS Water_CM'!$I68,$C$21="High",'SS Water_CM'!$J68)</f>
        <v>316.8897451730524</v>
      </c>
      <c r="L51" s="2">
        <f>'SS Desalin_Water'!$D$11</f>
        <v>315.45000000000005</v>
      </c>
      <c r="M51" s="2">
        <f>IF(B51&gt;=$C$25,"0", 'SS Imported_Water'!$D$14)</f>
        <v>406.53409825</v>
      </c>
      <c r="N51" s="81">
        <f t="shared" si="0"/>
        <v>1038.8738434230524</v>
      </c>
      <c r="O51" s="2">
        <f>'SS NEWater'!$D$12</f>
        <v>247.39999999999998</v>
      </c>
      <c r="P51" s="81">
        <f t="shared" si="15"/>
        <v>247.39999999999998</v>
      </c>
      <c r="Q51" s="2">
        <f t="shared" si="1"/>
        <v>1286.2738434230523</v>
      </c>
      <c r="R51" s="2">
        <f t="shared" si="11"/>
        <v>392.71747955495164</v>
      </c>
      <c r="S51" s="2">
        <f t="shared" si="12"/>
        <v>2.4999283877839389</v>
      </c>
      <c r="T51" s="6">
        <f>CEILING(IF(R51&lt;0, -R51/'SS Desalin_Water'!$C$15,0),1)</f>
        <v>0</v>
      </c>
      <c r="U51" s="6" t="str">
        <f t="shared" si="13"/>
        <v/>
      </c>
      <c r="V51" s="2">
        <f>'SS Desalin_Water'!$C$15*T51</f>
        <v>0</v>
      </c>
      <c r="W51" s="6">
        <f>CEILING(IF(S51&lt;0, -S51/'SS NEWater'!$C$15,0),1)</f>
        <v>0</v>
      </c>
      <c r="X51" s="6" t="str">
        <f t="shared" si="14"/>
        <v/>
      </c>
      <c r="Y51" s="2">
        <f>'SS NEWater'!$C$15*W51</f>
        <v>0</v>
      </c>
      <c r="Z51" s="85">
        <f t="shared" si="2"/>
        <v>1038.8738434230524</v>
      </c>
      <c r="AA51" s="85">
        <f t="shared" si="3"/>
        <v>247.39999999999998</v>
      </c>
      <c r="AB51" s="2">
        <f t="shared" si="4"/>
        <v>392.71747955495164</v>
      </c>
      <c r="AC51" s="2">
        <f t="shared" si="5"/>
        <v>2.4999283877839389</v>
      </c>
    </row>
    <row r="52" spans="2:29">
      <c r="B52" s="6">
        <v>2038</v>
      </c>
      <c r="C52" s="2">
        <f>'DD Pot_Water'!$E59</f>
        <v>329.62681543875698</v>
      </c>
      <c r="D52" s="2">
        <f>'DD Water_Total'!D59</f>
        <v>229.33805935535065</v>
      </c>
      <c r="E52" s="81">
        <f t="shared" si="6"/>
        <v>558.96487479410757</v>
      </c>
      <c r="F52" s="81">
        <f t="shared" si="7"/>
        <v>652.12568725979224</v>
      </c>
      <c r="G52" s="2">
        <f>'DD Water_Total'!E59</f>
        <v>39.950025726068723</v>
      </c>
      <c r="H52" s="2">
        <f>'DD Water_Total'!F59</f>
        <v>216.65634498254045</v>
      </c>
      <c r="I52" s="81">
        <f t="shared" si="8"/>
        <v>256.60637070860918</v>
      </c>
      <c r="J52" s="2">
        <f t="shared" si="9"/>
        <v>815.57124550271669</v>
      </c>
      <c r="K52" s="2" cm="1">
        <f t="array" ref="K52">_xlfn.IFS($C$21="Low",'SS Water_CM'!$H69,$C$21="Medium",'SS Water_CM'!$I69,$C$21="High",'SS Water_CM'!$J69)</f>
        <v>319.54154220378928</v>
      </c>
      <c r="L52" s="2">
        <f>'SS Desalin_Water'!$D$11</f>
        <v>315.45000000000005</v>
      </c>
      <c r="M52" s="2">
        <f>IF(B52&gt;=$C$25,"0", 'SS Imported_Water'!$D$14)</f>
        <v>406.53409825</v>
      </c>
      <c r="N52" s="81">
        <f t="shared" si="0"/>
        <v>1041.5256404537893</v>
      </c>
      <c r="O52" s="2">
        <f>'SS NEWater'!$D$12</f>
        <v>247.39999999999998</v>
      </c>
      <c r="P52" s="81">
        <f t="shared" si="15"/>
        <v>247.39999999999998</v>
      </c>
      <c r="Q52" s="2">
        <f t="shared" si="1"/>
        <v>1288.9256404537891</v>
      </c>
      <c r="R52" s="2">
        <f t="shared" si="11"/>
        <v>389.39995319399702</v>
      </c>
      <c r="S52" s="2">
        <f t="shared" si="12"/>
        <v>-9.2063707086091995</v>
      </c>
      <c r="T52" s="6">
        <f>CEILING(IF(R52&lt;0, -R52/'SS Desalin_Water'!$C$15,0),1)</f>
        <v>0</v>
      </c>
      <c r="U52" s="6" t="str">
        <f t="shared" si="13"/>
        <v/>
      </c>
      <c r="V52" s="2">
        <f>'SS Desalin_Water'!$C$15*T52</f>
        <v>0</v>
      </c>
      <c r="W52" s="6">
        <f>CEILING(IF(S52&lt;0, -S52/'SS NEWater'!$C$15,0),1)</f>
        <v>1</v>
      </c>
      <c r="X52" s="6" t="str">
        <f t="shared" si="14"/>
        <v>Year 2038</v>
      </c>
      <c r="Y52" s="2">
        <f>'SS NEWater'!$C$15*W52</f>
        <v>73.5</v>
      </c>
      <c r="Z52" s="85">
        <f t="shared" si="2"/>
        <v>1041.5256404537893</v>
      </c>
      <c r="AA52" s="85">
        <f t="shared" si="3"/>
        <v>320.89999999999998</v>
      </c>
      <c r="AB52" s="2">
        <f t="shared" si="4"/>
        <v>389.39995319399702</v>
      </c>
      <c r="AC52" s="2">
        <f t="shared" si="5"/>
        <v>64.293629291390801</v>
      </c>
    </row>
    <row r="53" spans="2:29">
      <c r="B53" s="6">
        <v>2039</v>
      </c>
      <c r="C53" s="2">
        <f>'DD Pot_Water'!$E60</f>
        <v>332.65317379306521</v>
      </c>
      <c r="D53" s="2">
        <f>'DD Water_Total'!D60</f>
        <v>231.4436500396736</v>
      </c>
      <c r="E53" s="81">
        <f t="shared" si="6"/>
        <v>564.09682383273878</v>
      </c>
      <c r="F53" s="81">
        <f t="shared" si="7"/>
        <v>658.11296113819526</v>
      </c>
      <c r="G53" s="2">
        <f>'DD Water_Total'!E60</f>
        <v>41.835767092741065</v>
      </c>
      <c r="H53" s="2">
        <f>'DD Water_Total'!F60</f>
        <v>226.88306761063157</v>
      </c>
      <c r="I53" s="81">
        <f t="shared" si="8"/>
        <v>268.71883470337264</v>
      </c>
      <c r="J53" s="2">
        <f t="shared" si="9"/>
        <v>832.81565853611141</v>
      </c>
      <c r="K53" s="2" cm="1">
        <f t="array" ref="K53">_xlfn.IFS($C$21="Low",'SS Water_CM'!$H70,$C$21="Medium",'SS Water_CM'!$I70,$C$21="High",'SS Water_CM'!$J70)</f>
        <v>322.19333923452604</v>
      </c>
      <c r="L53" s="2">
        <f>'SS Desalin_Water'!$D$11</f>
        <v>315.45000000000005</v>
      </c>
      <c r="M53" s="2">
        <f>IF(B53&gt;=$C$25,"0", 'SS Imported_Water'!$D$14)</f>
        <v>406.53409825</v>
      </c>
      <c r="N53" s="81">
        <f t="shared" si="0"/>
        <v>1044.1774374845261</v>
      </c>
      <c r="O53" s="2">
        <f>'SS NEWater'!$D$12</f>
        <v>247.39999999999998</v>
      </c>
      <c r="P53" s="81">
        <f t="shared" si="15"/>
        <v>247.39999999999998</v>
      </c>
      <c r="Q53" s="2">
        <f t="shared" si="1"/>
        <v>1291.5774374845259</v>
      </c>
      <c r="R53" s="2">
        <f t="shared" si="11"/>
        <v>386.06447634633082</v>
      </c>
      <c r="S53" s="2">
        <f t="shared" si="12"/>
        <v>-21.318834703372659</v>
      </c>
      <c r="T53" s="6">
        <f>CEILING(IF(R53&lt;0, -R53/'SS Desalin_Water'!$C$15,0),1)</f>
        <v>0</v>
      </c>
      <c r="U53" s="6" t="str">
        <f t="shared" si="13"/>
        <v/>
      </c>
      <c r="V53" s="2">
        <f>'SS Desalin_Water'!$C$15*T53</f>
        <v>0</v>
      </c>
      <c r="W53" s="6">
        <f>CEILING(IF(S53&lt;0, -S53/'SS NEWater'!$C$15,0),1)</f>
        <v>1</v>
      </c>
      <c r="X53" s="6" t="str">
        <f t="shared" si="14"/>
        <v/>
      </c>
      <c r="Y53" s="2">
        <f>'SS NEWater'!$C$15*W53</f>
        <v>73.5</v>
      </c>
      <c r="Z53" s="85">
        <f t="shared" si="2"/>
        <v>1044.1774374845261</v>
      </c>
      <c r="AA53" s="85">
        <f t="shared" si="3"/>
        <v>320.89999999999998</v>
      </c>
      <c r="AB53" s="2">
        <f t="shared" si="4"/>
        <v>386.06447634633082</v>
      </c>
      <c r="AC53" s="2">
        <f t="shared" si="5"/>
        <v>52.181165296627341</v>
      </c>
    </row>
    <row r="54" spans="2:29">
      <c r="B54" s="6">
        <v>2040</v>
      </c>
      <c r="C54" s="2">
        <f>'DD Pot_Water'!$E61</f>
        <v>331.66033370706515</v>
      </c>
      <c r="D54" s="2">
        <f>'DD Water_Total'!D61</f>
        <v>230.75288093986487</v>
      </c>
      <c r="E54" s="81">
        <f t="shared" si="6"/>
        <v>562.41321464692999</v>
      </c>
      <c r="F54" s="81">
        <f t="shared" si="7"/>
        <v>656.1487504214183</v>
      </c>
      <c r="G54" s="2">
        <f>'DD Water_Total'!E61</f>
        <v>43.261658203679751</v>
      </c>
      <c r="H54" s="2">
        <f>'DD Water_Total'!F61</f>
        <v>234.61593763573106</v>
      </c>
      <c r="I54" s="81">
        <f t="shared" si="8"/>
        <v>277.87759583941079</v>
      </c>
      <c r="J54" s="2">
        <f t="shared" si="9"/>
        <v>840.29081048634077</v>
      </c>
      <c r="K54" s="2" cm="1">
        <f t="array" ref="K54">_xlfn.IFS($C$21="Low",'SS Water_CM'!$H71,$C$21="Medium",'SS Water_CM'!$I71,$C$21="High",'SS Water_CM'!$J71)</f>
        <v>324.84513626526274</v>
      </c>
      <c r="L54" s="2">
        <f>'SS Desalin_Water'!$D$11</f>
        <v>315.45000000000005</v>
      </c>
      <c r="M54" s="2" t="str">
        <f>IF(B54&gt;=$C$25,"0", 'SS Imported_Water'!$D$14)</f>
        <v>0</v>
      </c>
      <c r="N54" s="81">
        <f t="shared" si="0"/>
        <v>640.29513626526273</v>
      </c>
      <c r="O54" s="2">
        <f>'SS NEWater'!$D$12</f>
        <v>247.39999999999998</v>
      </c>
      <c r="P54" s="81">
        <f t="shared" si="15"/>
        <v>247.39999999999998</v>
      </c>
      <c r="Q54" s="2">
        <f t="shared" si="1"/>
        <v>887.6951362652627</v>
      </c>
      <c r="R54" s="2">
        <f t="shared" si="11"/>
        <v>-15.853614156155572</v>
      </c>
      <c r="S54" s="2">
        <f t="shared" si="12"/>
        <v>-30.47759583941081</v>
      </c>
      <c r="T54" s="6">
        <f>CEILING(IF(R54&lt;0, -R54/'SS Desalin_Water'!$C$15,0),1)</f>
        <v>1</v>
      </c>
      <c r="U54" s="6" t="str">
        <f t="shared" si="13"/>
        <v>Year 2040</v>
      </c>
      <c r="V54" s="2">
        <f>'SS Desalin_Water'!$C$15*T54</f>
        <v>49.79999999999999</v>
      </c>
      <c r="W54" s="6">
        <f>CEILING(IF(S54&lt;0, -S54/'SS NEWater'!$C$15,0),1)</f>
        <v>1</v>
      </c>
      <c r="X54" s="6" t="str">
        <f t="shared" si="14"/>
        <v/>
      </c>
      <c r="Y54" s="2">
        <f>'SS NEWater'!$C$15*W54</f>
        <v>73.5</v>
      </c>
      <c r="Z54" s="85">
        <f t="shared" si="2"/>
        <v>690.09513626526268</v>
      </c>
      <c r="AA54" s="85">
        <f t="shared" si="3"/>
        <v>320.89999999999998</v>
      </c>
      <c r="AB54" s="2">
        <f t="shared" si="4"/>
        <v>33.946385843844382</v>
      </c>
      <c r="AC54" s="2">
        <f t="shared" si="5"/>
        <v>43.02240416058919</v>
      </c>
    </row>
    <row r="55" spans="2:29">
      <c r="B55" s="6">
        <v>2041</v>
      </c>
      <c r="C55" s="2">
        <f>'DD Pot_Water'!$E62</f>
        <v>334.6682784847041</v>
      </c>
      <c r="D55" s="2">
        <f>'DD Water_Total'!D62</f>
        <v>232.84566036690742</v>
      </c>
      <c r="E55" s="81">
        <f t="shared" si="6"/>
        <v>567.51393885161156</v>
      </c>
      <c r="F55" s="81">
        <f t="shared" si="7"/>
        <v>662.09959532688015</v>
      </c>
      <c r="G55" s="2">
        <f>'DD Water_Total'!E62</f>
        <v>45.256831907765559</v>
      </c>
      <c r="H55" s="2">
        <f>'DD Water_Total'!F62</f>
        <v>245.43613197794491</v>
      </c>
      <c r="I55" s="81">
        <f t="shared" si="8"/>
        <v>290.69296388571047</v>
      </c>
      <c r="J55" s="2">
        <f t="shared" si="9"/>
        <v>858.20690273732203</v>
      </c>
      <c r="K55" s="2" cm="1">
        <f t="array" ref="K55">_xlfn.IFS($C$21="Low",'SS Water_CM'!$H72,$C$21="Medium",'SS Water_CM'!$I72,$C$21="High",'SS Water_CM'!$J72)</f>
        <v>327.49693329599961</v>
      </c>
      <c r="L55" s="2">
        <f>'SS Desalin_Water'!$D$11</f>
        <v>315.45000000000005</v>
      </c>
      <c r="M55" s="2" t="str">
        <f>IF(B55&gt;=$C$25,"0", 'SS Imported_Water'!$D$14)</f>
        <v>0</v>
      </c>
      <c r="N55" s="81">
        <f t="shared" si="0"/>
        <v>642.94693329599966</v>
      </c>
      <c r="O55" s="2">
        <f>'SS NEWater'!$D$12</f>
        <v>247.39999999999998</v>
      </c>
      <c r="P55" s="81">
        <f t="shared" si="15"/>
        <v>247.39999999999998</v>
      </c>
      <c r="Q55" s="2">
        <f t="shared" si="1"/>
        <v>890.34693329599963</v>
      </c>
      <c r="R55" s="2">
        <f t="shared" si="11"/>
        <v>-19.152662030880492</v>
      </c>
      <c r="S55" s="2">
        <f t="shared" si="12"/>
        <v>-43.292963885710492</v>
      </c>
      <c r="T55" s="6">
        <f>CEILING(IF(R55&lt;0, -R55/'SS Desalin_Water'!$C$15,0),1)</f>
        <v>1</v>
      </c>
      <c r="U55" s="6" t="str">
        <f t="shared" si="13"/>
        <v/>
      </c>
      <c r="V55" s="2">
        <f>'SS Desalin_Water'!$C$15*T55</f>
        <v>49.79999999999999</v>
      </c>
      <c r="W55" s="6">
        <f>CEILING(IF(S55&lt;0, -S55/'SS NEWater'!$C$15,0),1)</f>
        <v>1</v>
      </c>
      <c r="X55" s="6" t="str">
        <f t="shared" si="14"/>
        <v/>
      </c>
      <c r="Y55" s="2">
        <f>'SS NEWater'!$C$15*W55</f>
        <v>73.5</v>
      </c>
      <c r="Z55" s="85">
        <f t="shared" si="2"/>
        <v>692.74693329599961</v>
      </c>
      <c r="AA55" s="85">
        <f t="shared" si="3"/>
        <v>320.89999999999998</v>
      </c>
      <c r="AB55" s="2">
        <f t="shared" si="4"/>
        <v>30.647337969119462</v>
      </c>
      <c r="AC55" s="2">
        <f t="shared" si="5"/>
        <v>30.207036114289508</v>
      </c>
    </row>
    <row r="56" spans="2:29">
      <c r="B56" s="6">
        <v>2042</v>
      </c>
      <c r="C56" s="2">
        <f>'DD Pot_Water'!$E63</f>
        <v>337.68516021648821</v>
      </c>
      <c r="D56" s="2">
        <f>'DD Water_Total'!D63</f>
        <v>234.94465768528707</v>
      </c>
      <c r="E56" s="81">
        <f t="shared" si="6"/>
        <v>572.62981790177525</v>
      </c>
      <c r="F56" s="81">
        <f t="shared" si="7"/>
        <v>668.06812088540448</v>
      </c>
      <c r="G56" s="2">
        <f>'DD Water_Total'!E63</f>
        <v>47.321824564396955</v>
      </c>
      <c r="H56" s="2">
        <f>'DD Water_Total'!F63</f>
        <v>256.63496735465424</v>
      </c>
      <c r="I56" s="81">
        <f t="shared" si="8"/>
        <v>303.95679191905117</v>
      </c>
      <c r="J56" s="2">
        <f t="shared" si="9"/>
        <v>876.58660982082642</v>
      </c>
      <c r="K56" s="2" cm="1">
        <f t="array" ref="K56">_xlfn.IFS($C$21="Low",'SS Water_CM'!$H73,$C$21="Medium",'SS Water_CM'!$I73,$C$21="High",'SS Water_CM'!$J73)</f>
        <v>330.14873032673654</v>
      </c>
      <c r="L56" s="2">
        <f>'SS Desalin_Water'!$D$11</f>
        <v>315.45000000000005</v>
      </c>
      <c r="M56" s="2" t="str">
        <f>IF(B56&gt;=$C$25,"0", 'SS Imported_Water'!$D$14)</f>
        <v>0</v>
      </c>
      <c r="N56" s="81">
        <f t="shared" si="0"/>
        <v>645.59873032673659</v>
      </c>
      <c r="O56" s="2">
        <f>'SS NEWater'!$D$12</f>
        <v>247.39999999999998</v>
      </c>
      <c r="P56" s="81">
        <f t="shared" si="15"/>
        <v>247.39999999999998</v>
      </c>
      <c r="Q56" s="2">
        <f t="shared" si="1"/>
        <v>892.99873032673656</v>
      </c>
      <c r="R56" s="2">
        <f t="shared" si="11"/>
        <v>-22.469390558667897</v>
      </c>
      <c r="S56" s="2">
        <f t="shared" si="12"/>
        <v>-56.556791919051193</v>
      </c>
      <c r="T56" s="6">
        <f>CEILING(IF(R56&lt;0, -R56/'SS Desalin_Water'!$C$15,0),1)</f>
        <v>1</v>
      </c>
      <c r="U56" s="6" t="str">
        <f t="shared" si="13"/>
        <v/>
      </c>
      <c r="V56" s="2">
        <f>'SS Desalin_Water'!$C$15*T56</f>
        <v>49.79999999999999</v>
      </c>
      <c r="W56" s="6">
        <f>CEILING(IF(S56&lt;0, -S56/'SS NEWater'!$C$15,0),1)</f>
        <v>1</v>
      </c>
      <c r="X56" s="6" t="str">
        <f t="shared" si="14"/>
        <v/>
      </c>
      <c r="Y56" s="2">
        <f>'SS NEWater'!$C$15*W56</f>
        <v>73.5</v>
      </c>
      <c r="Z56" s="85">
        <f t="shared" si="2"/>
        <v>695.39873032673654</v>
      </c>
      <c r="AA56" s="85">
        <f t="shared" si="3"/>
        <v>320.89999999999998</v>
      </c>
      <c r="AB56" s="2">
        <f t="shared" si="4"/>
        <v>27.330609441332058</v>
      </c>
      <c r="AC56" s="2">
        <f t="shared" si="5"/>
        <v>16.943208080948807</v>
      </c>
    </row>
    <row r="57" spans="2:29">
      <c r="B57" s="6">
        <v>2043</v>
      </c>
      <c r="C57" s="2">
        <f>'DD Pot_Water'!$E64</f>
        <v>340.71096841235004</v>
      </c>
      <c r="D57" s="2">
        <f>'DD Water_Total'!D64</f>
        <v>237.04986559653301</v>
      </c>
      <c r="E57" s="81">
        <f t="shared" si="6"/>
        <v>577.76083400888308</v>
      </c>
      <c r="F57" s="81">
        <f t="shared" si="7"/>
        <v>674.05430634369691</v>
      </c>
      <c r="G57" s="2">
        <f>'DD Water_Total'!E64</f>
        <v>49.459329215976808</v>
      </c>
      <c r="H57" s="2">
        <f>'DD Water_Total'!F64</f>
        <v>268.22704863064394</v>
      </c>
      <c r="I57" s="81">
        <f t="shared" si="8"/>
        <v>317.68637784662076</v>
      </c>
      <c r="J57" s="2">
        <f t="shared" si="9"/>
        <v>895.44721185550384</v>
      </c>
      <c r="K57" s="2" cm="1">
        <f t="array" ref="K57">_xlfn.IFS($C$21="Low",'SS Water_CM'!$H74,$C$21="Medium",'SS Water_CM'!$I74,$C$21="High",'SS Water_CM'!$J74)</f>
        <v>332.8005273574733</v>
      </c>
      <c r="L57" s="2">
        <f>'SS Desalin_Water'!$D$11</f>
        <v>315.45000000000005</v>
      </c>
      <c r="M57" s="2" t="str">
        <f>IF(B57&gt;=$C$25,"0", 'SS Imported_Water'!$D$14)</f>
        <v>0</v>
      </c>
      <c r="N57" s="81">
        <f t="shared" si="0"/>
        <v>648.2505273574734</v>
      </c>
      <c r="O57" s="2">
        <f>'SS NEWater'!$D$12</f>
        <v>247.39999999999998</v>
      </c>
      <c r="P57" s="81">
        <f t="shared" si="15"/>
        <v>247.39999999999998</v>
      </c>
      <c r="Q57" s="2">
        <f t="shared" si="1"/>
        <v>895.65052735747338</v>
      </c>
      <c r="R57" s="2">
        <f t="shared" si="11"/>
        <v>-25.803778986223506</v>
      </c>
      <c r="S57" s="2">
        <f t="shared" si="12"/>
        <v>-70.28637784662078</v>
      </c>
      <c r="T57" s="6">
        <f>CEILING(IF(R57&lt;0, -R57/'SS Desalin_Water'!$C$15,0),1)</f>
        <v>1</v>
      </c>
      <c r="U57" s="6" t="str">
        <f t="shared" si="13"/>
        <v/>
      </c>
      <c r="V57" s="2">
        <f>'SS Desalin_Water'!$C$15*T57</f>
        <v>49.79999999999999</v>
      </c>
      <c r="W57" s="6">
        <f>CEILING(IF(S57&lt;0, -S57/'SS NEWater'!$C$15,0),1)</f>
        <v>1</v>
      </c>
      <c r="X57" s="6" t="str">
        <f t="shared" si="14"/>
        <v/>
      </c>
      <c r="Y57" s="2">
        <f>'SS NEWater'!$C$15*W57</f>
        <v>73.5</v>
      </c>
      <c r="Z57" s="85">
        <f t="shared" si="2"/>
        <v>698.05052735747336</v>
      </c>
      <c r="AA57" s="85">
        <f t="shared" si="3"/>
        <v>320.89999999999998</v>
      </c>
      <c r="AB57" s="2">
        <f t="shared" si="4"/>
        <v>23.996221013776449</v>
      </c>
      <c r="AC57" s="2">
        <f t="shared" si="5"/>
        <v>3.2136221533792195</v>
      </c>
    </row>
    <row r="58" spans="2:29">
      <c r="B58" s="6">
        <v>2044</v>
      </c>
      <c r="C58" s="2">
        <f>'DD Pot_Water'!$E65</f>
        <v>343.74569190657502</v>
      </c>
      <c r="D58" s="2">
        <f>'DD Water_Total'!D65</f>
        <v>239.1612763320924</v>
      </c>
      <c r="E58" s="81">
        <f t="shared" si="6"/>
        <v>582.90696823866745</v>
      </c>
      <c r="F58" s="81">
        <f t="shared" si="7"/>
        <v>680.05812961177867</v>
      </c>
      <c r="G58" s="2">
        <f>'DD Water_Total'!E65</f>
        <v>51.672174401912443</v>
      </c>
      <c r="H58" s="2">
        <f>'DD Water_Total'!F65</f>
        <v>280.22771549590163</v>
      </c>
      <c r="I58" s="81">
        <f t="shared" si="8"/>
        <v>331.89988989781409</v>
      </c>
      <c r="J58" s="2">
        <f t="shared" si="9"/>
        <v>914.80685813648154</v>
      </c>
      <c r="K58" s="2" cm="1">
        <f t="array" ref="K58">_xlfn.IFS($C$21="Low",'SS Water_CM'!$H75,$C$21="Medium",'SS Water_CM'!$I75,$C$21="High",'SS Water_CM'!$J75)</f>
        <v>335.45232438821017</v>
      </c>
      <c r="L58" s="2">
        <f>'SS Desalin_Water'!$D$11</f>
        <v>315.45000000000005</v>
      </c>
      <c r="M58" s="2" t="str">
        <f>IF(B58&gt;=$C$25,"0", 'SS Imported_Water'!$D$14)</f>
        <v>0</v>
      </c>
      <c r="N58" s="81">
        <f t="shared" si="0"/>
        <v>650.90232438821022</v>
      </c>
      <c r="O58" s="2">
        <f>'SS NEWater'!$D$12</f>
        <v>247.39999999999998</v>
      </c>
      <c r="P58" s="81">
        <f t="shared" si="15"/>
        <v>247.39999999999998</v>
      </c>
      <c r="Q58" s="2">
        <f t="shared" si="1"/>
        <v>898.3023243882102</v>
      </c>
      <c r="R58" s="2">
        <f t="shared" si="11"/>
        <v>-29.15580522356845</v>
      </c>
      <c r="S58" s="2">
        <f t="shared" si="12"/>
        <v>-84.499889897814114</v>
      </c>
      <c r="T58" s="6">
        <f>CEILING(IF(R58&lt;0, -R58/'SS Desalin_Water'!$C$15,0),1)</f>
        <v>1</v>
      </c>
      <c r="U58" s="6" t="str">
        <f t="shared" si="13"/>
        <v/>
      </c>
      <c r="V58" s="2">
        <f>'SS Desalin_Water'!$C$15*T58</f>
        <v>49.79999999999999</v>
      </c>
      <c r="W58" s="6">
        <f>CEILING(IF(S58&lt;0, -S58/'SS NEWater'!$C$15,0),1)</f>
        <v>2</v>
      </c>
      <c r="X58" s="6" t="str">
        <f t="shared" si="14"/>
        <v>Year 2044</v>
      </c>
      <c r="Y58" s="2">
        <f>'SS NEWater'!$C$15*W58</f>
        <v>147</v>
      </c>
      <c r="Z58" s="85">
        <f t="shared" si="2"/>
        <v>700.70232438821017</v>
      </c>
      <c r="AA58" s="85">
        <f t="shared" si="3"/>
        <v>394.4</v>
      </c>
      <c r="AB58" s="2">
        <f t="shared" si="4"/>
        <v>20.644194776431505</v>
      </c>
      <c r="AC58" s="2">
        <f t="shared" si="5"/>
        <v>62.500110102185886</v>
      </c>
    </row>
    <row r="59" spans="2:29">
      <c r="B59" s="6">
        <v>2045</v>
      </c>
      <c r="C59" s="2">
        <f>'DD Pot_Water'!$E66</f>
        <v>346.7893188481367</v>
      </c>
      <c r="D59" s="2">
        <f>'DD Water_Total'!D66</f>
        <v>241.27888164660629</v>
      </c>
      <c r="E59" s="81">
        <f t="shared" si="6"/>
        <v>588.068200494743</v>
      </c>
      <c r="F59" s="81">
        <f t="shared" si="7"/>
        <v>686.07956724386679</v>
      </c>
      <c r="G59" s="2">
        <f>'DD Water_Total'!E66</f>
        <v>53.963332791540452</v>
      </c>
      <c r="H59" s="2">
        <f>'DD Water_Total'!F66</f>
        <v>292.6530892835579</v>
      </c>
      <c r="I59" s="81">
        <f t="shared" si="8"/>
        <v>346.61642207509834</v>
      </c>
      <c r="J59" s="2">
        <f t="shared" si="9"/>
        <v>934.68462256984139</v>
      </c>
      <c r="K59" s="2" cm="1">
        <f t="array" ref="K59">_xlfn.IFS($C$21="Low",'SS Water_CM'!$H76,$C$21="Medium",'SS Water_CM'!$I76,$C$21="High",'SS Water_CM'!$J76)</f>
        <v>338.10412141894693</v>
      </c>
      <c r="L59" s="2">
        <f>'SS Desalin_Water'!$D$11</f>
        <v>315.45000000000005</v>
      </c>
      <c r="M59" s="2" t="str">
        <f>IF(B59&gt;=$C$25,"0", 'SS Imported_Water'!$D$14)</f>
        <v>0</v>
      </c>
      <c r="N59" s="81">
        <f t="shared" si="0"/>
        <v>653.55412141894703</v>
      </c>
      <c r="O59" s="2">
        <f>'SS NEWater'!$D$12</f>
        <v>247.39999999999998</v>
      </c>
      <c r="P59" s="81">
        <f t="shared" si="15"/>
        <v>247.39999999999998</v>
      </c>
      <c r="Q59" s="2">
        <f t="shared" si="1"/>
        <v>900.95412141894701</v>
      </c>
      <c r="R59" s="2">
        <f t="shared" si="11"/>
        <v>-32.525445824919757</v>
      </c>
      <c r="S59" s="2">
        <f t="shared" si="12"/>
        <v>-99.216422075098365</v>
      </c>
      <c r="T59" s="6">
        <f>CEILING(IF(R59&lt;0, -R59/'SS Desalin_Water'!$C$15,0),1)</f>
        <v>1</v>
      </c>
      <c r="U59" s="6" t="str">
        <f t="shared" si="13"/>
        <v/>
      </c>
      <c r="V59" s="2">
        <f>'SS Desalin_Water'!$C$15*T59</f>
        <v>49.79999999999999</v>
      </c>
      <c r="W59" s="6">
        <f>CEILING(IF(S59&lt;0, -S59/'SS NEWater'!$C$15,0),1)</f>
        <v>2</v>
      </c>
      <c r="X59" s="6" t="str">
        <f t="shared" si="14"/>
        <v/>
      </c>
      <c r="Y59" s="2">
        <f>'SS NEWater'!$C$15*W59</f>
        <v>147</v>
      </c>
      <c r="Z59" s="85">
        <f t="shared" si="2"/>
        <v>703.35412141894699</v>
      </c>
      <c r="AA59" s="85">
        <f t="shared" si="3"/>
        <v>394.4</v>
      </c>
      <c r="AB59" s="2">
        <f t="shared" si="4"/>
        <v>17.274554175080198</v>
      </c>
      <c r="AC59" s="2">
        <f t="shared" si="5"/>
        <v>47.783577924901635</v>
      </c>
    </row>
    <row r="60" spans="2:29">
      <c r="B60" s="6">
        <v>2046</v>
      </c>
      <c r="C60" s="2">
        <f>'DD Pot_Water'!$E67</f>
        <v>349.84183669092556</v>
      </c>
      <c r="D60" s="2">
        <f>'DD Water_Total'!D67</f>
        <v>243.40267281111136</v>
      </c>
      <c r="E60" s="81">
        <f t="shared" si="6"/>
        <v>593.24450950203686</v>
      </c>
      <c r="F60" s="81">
        <f t="shared" si="7"/>
        <v>692.11859441904301</v>
      </c>
      <c r="G60" s="2">
        <f>'DD Water_Total'!E67</f>
        <v>56.335930486401793</v>
      </c>
      <c r="H60" s="2">
        <f>'DD Water_Total'!F67</f>
        <v>305.52012341783711</v>
      </c>
      <c r="I60" s="81">
        <f t="shared" si="8"/>
        <v>361.85605390423893</v>
      </c>
      <c r="J60" s="2">
        <f t="shared" si="9"/>
        <v>955.1005634062758</v>
      </c>
      <c r="K60" s="2" cm="1">
        <f t="array" ref="K60">_xlfn.IFS($C$21="Low",'SS Water_CM'!$H77,$C$21="Medium",'SS Water_CM'!$I77,$C$21="High",'SS Water_CM'!$J77)</f>
        <v>340.7559184496838</v>
      </c>
      <c r="L60" s="2">
        <f>'SS Desalin_Water'!$D$11</f>
        <v>315.45000000000005</v>
      </c>
      <c r="M60" s="2" t="str">
        <f>IF(B60&gt;=$C$25,"0", 'SS Imported_Water'!$D$14)</f>
        <v>0</v>
      </c>
      <c r="N60" s="81">
        <f t="shared" si="0"/>
        <v>656.20591844968385</v>
      </c>
      <c r="O60" s="2">
        <f>'SS NEWater'!$D$12</f>
        <v>247.39999999999998</v>
      </c>
      <c r="P60" s="81">
        <f t="shared" si="15"/>
        <v>247.39999999999998</v>
      </c>
      <c r="Q60" s="2">
        <f t="shared" si="1"/>
        <v>903.60591844968383</v>
      </c>
      <c r="R60" s="2">
        <f t="shared" si="11"/>
        <v>-35.912675969359157</v>
      </c>
      <c r="S60" s="2">
        <f t="shared" si="12"/>
        <v>-114.45605390423896</v>
      </c>
      <c r="T60" s="6">
        <f>CEILING(IF(R60&lt;0, -R60/'SS Desalin_Water'!$C$15,0),1)</f>
        <v>1</v>
      </c>
      <c r="U60" s="6" t="str">
        <f t="shared" si="13"/>
        <v/>
      </c>
      <c r="V60" s="2">
        <f>'SS Desalin_Water'!$C$15*T60</f>
        <v>49.79999999999999</v>
      </c>
      <c r="W60" s="6">
        <f>CEILING(IF(S60&lt;0, -S60/'SS NEWater'!$C$15,0),1)</f>
        <v>2</v>
      </c>
      <c r="X60" s="6" t="str">
        <f t="shared" si="14"/>
        <v/>
      </c>
      <c r="Y60" s="2">
        <f>'SS NEWater'!$C$15*W60</f>
        <v>147</v>
      </c>
      <c r="Z60" s="85">
        <f t="shared" si="2"/>
        <v>706.0059184496838</v>
      </c>
      <c r="AA60" s="85">
        <f t="shared" si="3"/>
        <v>394.4</v>
      </c>
      <c r="AB60" s="2">
        <f t="shared" si="4"/>
        <v>13.887324030640798</v>
      </c>
      <c r="AC60" s="2">
        <f t="shared" si="5"/>
        <v>32.543946095761044</v>
      </c>
    </row>
    <row r="61" spans="2:29">
      <c r="B61" s="6">
        <v>2047</v>
      </c>
      <c r="C61" s="2">
        <f>'DD Pot_Water'!$E68</f>
        <v>352.90323218386817</v>
      </c>
      <c r="D61" s="2">
        <f>'DD Water_Total'!D68</f>
        <v>245.53264060616513</v>
      </c>
      <c r="E61" s="81">
        <f t="shared" si="6"/>
        <v>598.43587279003327</v>
      </c>
      <c r="F61" s="81">
        <f t="shared" si="7"/>
        <v>698.17518492170541</v>
      </c>
      <c r="G61" s="2">
        <f>'DD Water_Total'!E68</f>
        <v>58.793257053224728</v>
      </c>
      <c r="H61" s="2">
        <f>'DD Water_Total'!F68</f>
        <v>318.84665782477111</v>
      </c>
      <c r="I61" s="81">
        <f t="shared" si="8"/>
        <v>377.63991487799586</v>
      </c>
      <c r="J61" s="2">
        <f t="shared" si="9"/>
        <v>976.07578766802908</v>
      </c>
      <c r="K61" s="2" cm="1">
        <f t="array" ref="K61">_xlfn.IFS($C$21="Low",'SS Water_CM'!$H78,$C$21="Medium",'SS Water_CM'!$I78,$C$21="High",'SS Water_CM'!$J78)</f>
        <v>343.40771548042056</v>
      </c>
      <c r="L61" s="2">
        <f>'SS Desalin_Water'!$D$11</f>
        <v>315.45000000000005</v>
      </c>
      <c r="M61" s="2" t="str">
        <f>IF(B61&gt;=$C$25,"0", 'SS Imported_Water'!$D$14)</f>
        <v>0</v>
      </c>
      <c r="N61" s="81">
        <f t="shared" si="0"/>
        <v>658.85771548042067</v>
      </c>
      <c r="O61" s="2">
        <f>'SS NEWater'!$D$12</f>
        <v>247.39999999999998</v>
      </c>
      <c r="P61" s="81">
        <f t="shared" si="15"/>
        <v>247.39999999999998</v>
      </c>
      <c r="Q61" s="2">
        <f t="shared" si="1"/>
        <v>906.25771548042064</v>
      </c>
      <c r="R61" s="2">
        <f t="shared" si="11"/>
        <v>-39.317469441284743</v>
      </c>
      <c r="S61" s="2">
        <f t="shared" si="12"/>
        <v>-130.23991487799589</v>
      </c>
      <c r="T61" s="6">
        <f>CEILING(IF(R61&lt;0, -R61/'SS Desalin_Water'!$C$15,0),1)</f>
        <v>1</v>
      </c>
      <c r="U61" s="6" t="str">
        <f t="shared" si="13"/>
        <v/>
      </c>
      <c r="V61" s="2">
        <f>'SS Desalin_Water'!$C$15*T61</f>
        <v>49.79999999999999</v>
      </c>
      <c r="W61" s="6">
        <f>CEILING(IF(S61&lt;0, -S61/'SS NEWater'!$C$15,0),1)</f>
        <v>2</v>
      </c>
      <c r="X61" s="6" t="str">
        <f t="shared" si="14"/>
        <v/>
      </c>
      <c r="Y61" s="2">
        <f>'SS NEWater'!$C$15*W61</f>
        <v>147</v>
      </c>
      <c r="Z61" s="85">
        <f t="shared" si="2"/>
        <v>708.65771548042062</v>
      </c>
      <c r="AA61" s="85">
        <f t="shared" si="3"/>
        <v>394.4</v>
      </c>
      <c r="AB61" s="2">
        <f t="shared" si="4"/>
        <v>10.482530558715212</v>
      </c>
      <c r="AC61" s="2">
        <f t="shared" si="5"/>
        <v>16.760085122004114</v>
      </c>
    </row>
    <row r="62" spans="2:29">
      <c r="B62" s="6">
        <v>2048</v>
      </c>
      <c r="C62" s="2">
        <f>'DD Pot_Water'!$E69</f>
        <v>355.97349136093624</v>
      </c>
      <c r="D62" s="2">
        <f>'DD Water_Total'!D69</f>
        <v>247.66877531489476</v>
      </c>
      <c r="E62" s="81">
        <f t="shared" si="6"/>
        <v>603.64226667583102</v>
      </c>
      <c r="F62" s="81">
        <f t="shared" si="7"/>
        <v>704.24931112180286</v>
      </c>
      <c r="G62" s="2">
        <f>'DD Water_Total'!E69</f>
        <v>61.338776355486303</v>
      </c>
      <c r="H62" s="2">
        <f>'DD Water_Total'!F69</f>
        <v>332.65147767375117</v>
      </c>
      <c r="I62" s="81">
        <f t="shared" si="8"/>
        <v>393.99025402923746</v>
      </c>
      <c r="J62" s="2">
        <f t="shared" si="9"/>
        <v>997.63252070506849</v>
      </c>
      <c r="K62" s="2" cm="1">
        <f t="array" ref="K62">_xlfn.IFS($C$21="Low",'SS Water_CM'!$H79,$C$21="Medium",'SS Water_CM'!$I79,$C$21="High",'SS Water_CM'!$J79)</f>
        <v>346.05951251115738</v>
      </c>
      <c r="L62" s="2">
        <f>'SS Desalin_Water'!$D$11</f>
        <v>315.45000000000005</v>
      </c>
      <c r="M62" s="2" t="str">
        <f>IF(B62&gt;=$C$25,"0", 'SS Imported_Water'!$D$14)</f>
        <v>0</v>
      </c>
      <c r="N62" s="81">
        <f t="shared" si="0"/>
        <v>661.50951251115748</v>
      </c>
      <c r="O62" s="2">
        <f>'SS NEWater'!$D$12</f>
        <v>247.39999999999998</v>
      </c>
      <c r="P62" s="81">
        <f t="shared" si="15"/>
        <v>247.39999999999998</v>
      </c>
      <c r="Q62" s="2">
        <f t="shared" si="1"/>
        <v>908.90951251115746</v>
      </c>
      <c r="R62" s="2">
        <f t="shared" si="11"/>
        <v>-42.73979861064538</v>
      </c>
      <c r="S62" s="2">
        <f t="shared" si="12"/>
        <v>-146.59025402923749</v>
      </c>
      <c r="T62" s="6">
        <f>CEILING(IF(R62&lt;0, -R62/'SS Desalin_Water'!$C$15,0),1)</f>
        <v>1</v>
      </c>
      <c r="U62" s="6" t="str">
        <f t="shared" si="13"/>
        <v/>
      </c>
      <c r="V62" s="2">
        <f>'SS Desalin_Water'!$C$15*T62</f>
        <v>49.79999999999999</v>
      </c>
      <c r="W62" s="6">
        <f>CEILING(IF(S62&lt;0, -S62/'SS NEWater'!$C$15,0),1)</f>
        <v>2</v>
      </c>
      <c r="X62" s="6" t="str">
        <f t="shared" si="14"/>
        <v/>
      </c>
      <c r="Y62" s="2">
        <f>'SS NEWater'!$C$15*W62</f>
        <v>147</v>
      </c>
      <c r="Z62" s="85">
        <f t="shared" si="2"/>
        <v>711.30951251115744</v>
      </c>
      <c r="AA62" s="85">
        <f t="shared" si="3"/>
        <v>394.4</v>
      </c>
      <c r="AB62" s="2">
        <f t="shared" si="4"/>
        <v>7.0602013893545745</v>
      </c>
      <c r="AC62" s="2">
        <f t="shared" si="5"/>
        <v>0.40974597076251484</v>
      </c>
    </row>
    <row r="63" spans="2:29">
      <c r="B63" s="6">
        <v>2049</v>
      </c>
      <c r="C63" s="2">
        <f>'DD Pot_Water'!$E70</f>
        <v>359.05259953104473</v>
      </c>
      <c r="D63" s="2">
        <f>'DD Water_Total'!D70</f>
        <v>249.81106671596885</v>
      </c>
      <c r="E63" s="81">
        <f t="shared" si="6"/>
        <v>608.86366624701361</v>
      </c>
      <c r="F63" s="81">
        <f t="shared" si="7"/>
        <v>710.34094395484919</v>
      </c>
      <c r="G63" s="2">
        <f>'DD Water_Total'!E70</f>
        <v>63.976138258724902</v>
      </c>
      <c r="H63" s="2">
        <f>'DD Water_Total'!F70</f>
        <v>346.95437685759356</v>
      </c>
      <c r="I63" s="81">
        <f t="shared" si="8"/>
        <v>410.93051511631847</v>
      </c>
      <c r="J63" s="2">
        <f t="shared" si="9"/>
        <v>1019.7941813633321</v>
      </c>
      <c r="K63" s="2" cm="1">
        <f t="array" ref="K63">_xlfn.IFS($C$21="Low",'SS Water_CM'!$H80,$C$21="Medium",'SS Water_CM'!$I80,$C$21="High",'SS Water_CM'!$J80)</f>
        <v>348.71130954189414</v>
      </c>
      <c r="L63" s="2">
        <f>'SS Desalin_Water'!$D$11</f>
        <v>315.45000000000005</v>
      </c>
      <c r="M63" s="2" t="str">
        <f>IF(B63&gt;=$C$25,"0", 'SS Imported_Water'!$D$14)</f>
        <v>0</v>
      </c>
      <c r="N63" s="81">
        <f t="shared" si="0"/>
        <v>664.16130954189418</v>
      </c>
      <c r="O63" s="2">
        <f>'SS NEWater'!$D$12</f>
        <v>247.39999999999998</v>
      </c>
      <c r="P63" s="81">
        <f t="shared" si="15"/>
        <v>247.39999999999998</v>
      </c>
      <c r="Q63" s="2">
        <f t="shared" si="1"/>
        <v>911.56130954189416</v>
      </c>
      <c r="R63" s="2">
        <f t="shared" si="11"/>
        <v>-46.179634412955011</v>
      </c>
      <c r="S63" s="2">
        <f t="shared" si="12"/>
        <v>-163.5305151163185</v>
      </c>
      <c r="T63" s="6">
        <f>CEILING(IF(R63&lt;0, -R63/'SS Desalin_Water'!$C$15,0),1)</f>
        <v>1</v>
      </c>
      <c r="U63" s="6" t="str">
        <f t="shared" si="13"/>
        <v/>
      </c>
      <c r="V63" s="2">
        <f>'SS Desalin_Water'!$C$15*T63</f>
        <v>49.79999999999999</v>
      </c>
      <c r="W63" s="6">
        <f>CEILING(IF(S63&lt;0, -S63/'SS NEWater'!$C$15,0),1)</f>
        <v>3</v>
      </c>
      <c r="X63" s="6" t="str">
        <f t="shared" si="14"/>
        <v>Year 2049</v>
      </c>
      <c r="Y63" s="2">
        <f>'SS NEWater'!$C$15*W63</f>
        <v>220.5</v>
      </c>
      <c r="Z63" s="85">
        <f t="shared" si="2"/>
        <v>713.96130954189414</v>
      </c>
      <c r="AA63" s="85">
        <f t="shared" si="3"/>
        <v>467.9</v>
      </c>
      <c r="AB63" s="2">
        <f t="shared" si="4"/>
        <v>3.6203655870449438</v>
      </c>
      <c r="AC63" s="2">
        <f t="shared" si="5"/>
        <v>56.969484883681503</v>
      </c>
    </row>
    <row r="64" spans="2:29">
      <c r="B64" s="6">
        <v>2050</v>
      </c>
      <c r="C64" s="2">
        <f>'DD Pot_Water'!$E71</f>
        <v>362.14054126783793</v>
      </c>
      <c r="D64" s="2">
        <f>'DD Water_Total'!D71</f>
        <v>251.95950407649093</v>
      </c>
      <c r="E64" s="81">
        <f t="shared" si="6"/>
        <v>614.10004534432892</v>
      </c>
      <c r="F64" s="81">
        <f t="shared" si="7"/>
        <v>716.45005290171719</v>
      </c>
      <c r="G64" s="2">
        <f>'DD Water_Total'!E71</f>
        <v>66.709191292974396</v>
      </c>
      <c r="H64" s="2">
        <f>'DD Water_Total'!F71</f>
        <v>361.77622666325095</v>
      </c>
      <c r="I64" s="81">
        <f t="shared" si="8"/>
        <v>428.48541795622532</v>
      </c>
      <c r="J64" s="2">
        <f t="shared" si="9"/>
        <v>1042.5854633005542</v>
      </c>
      <c r="K64" s="2" cm="1">
        <f t="array" ref="K64">_xlfn.IFS($C$21="Low",'SS Water_CM'!$H81,$C$21="Medium",'SS Water_CM'!$I81,$C$21="High",'SS Water_CM'!$J81)</f>
        <v>351.36310657263101</v>
      </c>
      <c r="L64" s="2">
        <f>'SS Desalin_Water'!$D$11</f>
        <v>315.45000000000005</v>
      </c>
      <c r="M64" s="2" t="str">
        <f>IF(B64&gt;=$C$25,"0", 'SS Imported_Water'!$D$14)</f>
        <v>0</v>
      </c>
      <c r="N64" s="81">
        <f t="shared" si="0"/>
        <v>666.81310657263111</v>
      </c>
      <c r="O64" s="2">
        <f>'SS NEWater'!$D$12</f>
        <v>247.39999999999998</v>
      </c>
      <c r="P64" s="81">
        <f t="shared" si="15"/>
        <v>247.39999999999998</v>
      </c>
      <c r="Q64" s="2">
        <f t="shared" si="1"/>
        <v>914.21310657263109</v>
      </c>
      <c r="R64" s="2">
        <f t="shared" si="11"/>
        <v>-49.636946329086072</v>
      </c>
      <c r="S64" s="2">
        <f t="shared" si="12"/>
        <v>-181.08541795622534</v>
      </c>
      <c r="T64" s="6">
        <f>CEILING(IF(R64&lt;0, -R64/'SS Desalin_Water'!$C$15,0),1)</f>
        <v>1</v>
      </c>
      <c r="U64" s="6" t="str">
        <f t="shared" si="13"/>
        <v/>
      </c>
      <c r="V64" s="2">
        <f>'SS Desalin_Water'!$C$15*T64</f>
        <v>49.79999999999999</v>
      </c>
      <c r="W64" s="6">
        <f>CEILING(IF(S64&lt;0, -S64/'SS NEWater'!$C$15,0),1)</f>
        <v>3</v>
      </c>
      <c r="X64" s="6" t="str">
        <f t="shared" si="14"/>
        <v/>
      </c>
      <c r="Y64" s="2">
        <f>'SS NEWater'!$C$15*W64</f>
        <v>220.5</v>
      </c>
      <c r="Z64" s="85">
        <f t="shared" si="2"/>
        <v>716.61310657263107</v>
      </c>
      <c r="AA64" s="85">
        <f t="shared" si="3"/>
        <v>467.9</v>
      </c>
      <c r="AB64" s="2">
        <f t="shared" si="4"/>
        <v>0.16305367091388234</v>
      </c>
      <c r="AC64" s="2">
        <f t="shared" si="5"/>
        <v>39.414582043774658</v>
      </c>
    </row>
    <row r="65" spans="2:29">
      <c r="B65" s="6">
        <v>2051</v>
      </c>
      <c r="C65" s="2">
        <f>'DD Pot_Water'!$E72</f>
        <v>365.23730039936152</v>
      </c>
      <c r="D65" s="2">
        <f>'DD Water_Total'!D72</f>
        <v>254.11407614481379</v>
      </c>
      <c r="E65" s="81">
        <f t="shared" si="6"/>
        <v>619.35137654417531</v>
      </c>
      <c r="F65" s="81">
        <f t="shared" si="7"/>
        <v>722.5766059682046</v>
      </c>
      <c r="G65" s="2">
        <f>'DD Water_Total'!E72</f>
        <v>69.54199636490722</v>
      </c>
      <c r="H65" s="2">
        <f>'DD Water_Total'!F72</f>
        <v>377.13905013528887</v>
      </c>
      <c r="I65" s="81">
        <f t="shared" si="8"/>
        <v>446.68104650019609</v>
      </c>
      <c r="J65" s="2">
        <f t="shared" si="9"/>
        <v>1066.0324230443714</v>
      </c>
      <c r="K65" s="2" cm="1">
        <f t="array" ref="K65">_xlfn.IFS($C$21="Low",'SS Water_CM'!$H82,$C$21="Medium",'SS Water_CM'!$I82,$C$21="High",'SS Water_CM'!$J82)</f>
        <v>354.01490360336788</v>
      </c>
      <c r="L65" s="2">
        <f>'SS Desalin_Water'!$D$11</f>
        <v>315.45000000000005</v>
      </c>
      <c r="M65" s="2" t="str">
        <f>IF(B65&gt;=$C$25,"0", 'SS Imported_Water'!$D$14)</f>
        <v>0</v>
      </c>
      <c r="N65" s="81">
        <f t="shared" si="0"/>
        <v>669.46490360336793</v>
      </c>
      <c r="O65" s="2">
        <f>'SS NEWater'!$D$12</f>
        <v>247.39999999999998</v>
      </c>
      <c r="P65" s="81">
        <f t="shared" si="15"/>
        <v>247.39999999999998</v>
      </c>
      <c r="Q65" s="2">
        <f t="shared" si="1"/>
        <v>916.86490360336791</v>
      </c>
      <c r="R65" s="2">
        <f t="shared" si="11"/>
        <v>-53.111702364836674</v>
      </c>
      <c r="S65" s="2">
        <f t="shared" si="12"/>
        <v>-199.28104650019611</v>
      </c>
      <c r="T65" s="6">
        <f>CEILING(IF(R65&lt;0, -R65/'SS Desalin_Water'!$C$15,0),1)</f>
        <v>2</v>
      </c>
      <c r="U65" s="6" t="str">
        <f t="shared" si="13"/>
        <v>Year 2051</v>
      </c>
      <c r="V65" s="2">
        <f>'SS Desalin_Water'!$C$15*T65</f>
        <v>99.59999999999998</v>
      </c>
      <c r="W65" s="6">
        <f>CEILING(IF(S65&lt;0, -S65/'SS NEWater'!$C$15,0),1)</f>
        <v>3</v>
      </c>
      <c r="X65" s="6" t="str">
        <f t="shared" si="14"/>
        <v/>
      </c>
      <c r="Y65" s="2">
        <f>'SS NEWater'!$C$15*W65</f>
        <v>220.5</v>
      </c>
      <c r="Z65" s="85">
        <f t="shared" si="2"/>
        <v>769.06490360336795</v>
      </c>
      <c r="AA65" s="85">
        <f t="shared" si="3"/>
        <v>467.9</v>
      </c>
      <c r="AB65" s="2">
        <f t="shared" si="4"/>
        <v>46.488297635163349</v>
      </c>
      <c r="AC65" s="2">
        <f t="shared" si="5"/>
        <v>21.218953499803888</v>
      </c>
    </row>
    <row r="66" spans="2:29">
      <c r="B66" s="6">
        <v>2052</v>
      </c>
      <c r="C66" s="2">
        <f>'DD Pot_Water'!$E73</f>
        <v>368.34285999762056</v>
      </c>
      <c r="D66" s="2">
        <f>'DD Water_Total'!D73</f>
        <v>256.27477114327468</v>
      </c>
      <c r="E66" s="81">
        <f t="shared" si="6"/>
        <v>624.61763114089524</v>
      </c>
      <c r="F66" s="81">
        <f t="shared" si="7"/>
        <v>728.72056966437776</v>
      </c>
      <c r="G66" s="2">
        <f>'DD Water_Total'!E73</f>
        <v>72.478841622653746</v>
      </c>
      <c r="H66" s="2">
        <f>'DD Water_Total'!F73</f>
        <v>393.06610269053846</v>
      </c>
      <c r="I66" s="81">
        <f t="shared" si="8"/>
        <v>465.54494431319222</v>
      </c>
      <c r="J66" s="2">
        <f t="shared" si="9"/>
        <v>1090.1625754540873</v>
      </c>
      <c r="K66" s="2" cm="1">
        <f t="array" ref="K66">_xlfn.IFS($C$21="Low",'SS Water_CM'!$H83,$C$21="Medium",'SS Water_CM'!$I83,$C$21="High",'SS Water_CM'!$J83)</f>
        <v>356.6667006341047</v>
      </c>
      <c r="L66" s="2">
        <f>'SS Desalin_Water'!$D$11</f>
        <v>315.45000000000005</v>
      </c>
      <c r="M66" s="2" t="str">
        <f>IF(B66&gt;=$C$25,"0", 'SS Imported_Water'!$D$14)</f>
        <v>0</v>
      </c>
      <c r="N66" s="81">
        <f t="shared" si="0"/>
        <v>672.11670063410475</v>
      </c>
      <c r="O66" s="2">
        <f>'SS NEWater'!$D$12</f>
        <v>247.39999999999998</v>
      </c>
      <c r="P66" s="81">
        <f t="shared" si="15"/>
        <v>247.39999999999998</v>
      </c>
      <c r="Q66" s="2">
        <f t="shared" si="1"/>
        <v>919.51670063410472</v>
      </c>
      <c r="R66" s="2">
        <f t="shared" si="11"/>
        <v>-56.603869030273017</v>
      </c>
      <c r="S66" s="2">
        <f t="shared" si="12"/>
        <v>-218.14494431319224</v>
      </c>
      <c r="T66" s="6">
        <f>CEILING(IF(R66&lt;0, -R66/'SS Desalin_Water'!$C$15,0),1)</f>
        <v>2</v>
      </c>
      <c r="U66" s="6" t="str">
        <f t="shared" si="13"/>
        <v/>
      </c>
      <c r="V66" s="2">
        <f>'SS Desalin_Water'!$C$15*T66</f>
        <v>99.59999999999998</v>
      </c>
      <c r="W66" s="6">
        <f>CEILING(IF(S66&lt;0, -S66/'SS NEWater'!$C$15,0),1)</f>
        <v>3</v>
      </c>
      <c r="X66" s="6" t="str">
        <f t="shared" si="14"/>
        <v/>
      </c>
      <c r="Y66" s="2">
        <f>'SS NEWater'!$C$15*W66</f>
        <v>220.5</v>
      </c>
      <c r="Z66" s="85">
        <f t="shared" si="2"/>
        <v>771.71670063410477</v>
      </c>
      <c r="AA66" s="85">
        <f t="shared" si="3"/>
        <v>467.9</v>
      </c>
      <c r="AB66" s="2">
        <f t="shared" si="4"/>
        <v>42.996130969727005</v>
      </c>
      <c r="AC66" s="2">
        <f t="shared" si="5"/>
        <v>2.3550556868077592</v>
      </c>
    </row>
    <row r="67" spans="2:29">
      <c r="B67" s="6">
        <v>2053</v>
      </c>
      <c r="C67" s="2">
        <f>'DD Pot_Water'!$E74</f>
        <v>371.45720236802208</v>
      </c>
      <c r="D67" s="2">
        <f>'DD Water_Total'!D74</f>
        <v>258.44157676084967</v>
      </c>
      <c r="E67" s="81">
        <f t="shared" si="6"/>
        <v>629.89877912887175</v>
      </c>
      <c r="F67" s="81">
        <f t="shared" si="7"/>
        <v>734.88190898368373</v>
      </c>
      <c r="G67" s="2">
        <f>'DD Water_Total'!E74</f>
        <v>75.524258587972867</v>
      </c>
      <c r="H67" s="2">
        <f>'DD Water_Total'!F74</f>
        <v>409.58195960582731</v>
      </c>
      <c r="I67" s="81">
        <f t="shared" si="8"/>
        <v>485.10621819380015</v>
      </c>
      <c r="J67" s="2">
        <f t="shared" si="9"/>
        <v>1115.0049973226719</v>
      </c>
      <c r="K67" s="2" cm="1">
        <f t="array" ref="K67">_xlfn.IFS($C$21="Low",'SS Water_CM'!$H84,$C$21="Medium",'SS Water_CM'!$I84,$C$21="High",'SS Water_CM'!$J84)</f>
        <v>359.31849766484157</v>
      </c>
      <c r="L67" s="2">
        <f>'SS Desalin_Water'!$D$11</f>
        <v>315.45000000000005</v>
      </c>
      <c r="M67" s="2" t="str">
        <f>IF(B67&gt;=$C$25,"0", 'SS Imported_Water'!$D$14)</f>
        <v>0</v>
      </c>
      <c r="N67" s="81">
        <f t="shared" si="0"/>
        <v>674.76849766484156</v>
      </c>
      <c r="O67" s="2">
        <f>'SS NEWater'!$D$12</f>
        <v>247.39999999999998</v>
      </c>
      <c r="P67" s="81">
        <f t="shared" si="15"/>
        <v>247.39999999999998</v>
      </c>
      <c r="Q67" s="2">
        <f t="shared" si="1"/>
        <v>922.16849766484154</v>
      </c>
      <c r="R67" s="2">
        <f t="shared" si="11"/>
        <v>-60.113411318842168</v>
      </c>
      <c r="S67" s="2">
        <f t="shared" si="12"/>
        <v>-237.70621819380017</v>
      </c>
      <c r="T67" s="6">
        <f>CEILING(IF(R67&lt;0, -R67/'SS Desalin_Water'!$C$15,0),1)</f>
        <v>2</v>
      </c>
      <c r="U67" s="6" t="str">
        <f t="shared" si="13"/>
        <v/>
      </c>
      <c r="V67" s="2">
        <f>'SS Desalin_Water'!$C$15*T67</f>
        <v>99.59999999999998</v>
      </c>
      <c r="W67" s="6">
        <f>CEILING(IF(S67&lt;0, -S67/'SS NEWater'!$C$15,0),1)</f>
        <v>4</v>
      </c>
      <c r="X67" s="6" t="str">
        <f t="shared" si="14"/>
        <v>Year 2053</v>
      </c>
      <c r="Y67" s="2">
        <f>'SS NEWater'!$C$15*W67</f>
        <v>294</v>
      </c>
      <c r="Z67" s="85">
        <f t="shared" si="2"/>
        <v>774.36849766484158</v>
      </c>
      <c r="AA67" s="85">
        <f t="shared" si="3"/>
        <v>541.4</v>
      </c>
      <c r="AB67" s="2">
        <f t="shared" si="4"/>
        <v>39.486588681157855</v>
      </c>
      <c r="AC67" s="2">
        <f t="shared" si="5"/>
        <v>56.293781806199831</v>
      </c>
    </row>
    <row r="68" spans="2:29">
      <c r="B68" s="6">
        <v>2054</v>
      </c>
      <c r="C68" s="2">
        <f>'DD Pot_Water'!$E75</f>
        <v>374.58030903870025</v>
      </c>
      <c r="D68" s="2">
        <f>'DD Water_Total'!D75</f>
        <v>260.61448014572659</v>
      </c>
      <c r="E68" s="81">
        <f t="shared" si="6"/>
        <v>635.19478918442678</v>
      </c>
      <c r="F68" s="81">
        <f t="shared" si="7"/>
        <v>741.06058738183128</v>
      </c>
      <c r="G68" s="2">
        <f>'DD Water_Total'!E75</f>
        <v>78.683039683674707</v>
      </c>
      <c r="H68" s="2">
        <f>'DD Water_Total'!F75</f>
        <v>426.71261107242026</v>
      </c>
      <c r="I68" s="81">
        <f t="shared" si="8"/>
        <v>505.39565075609494</v>
      </c>
      <c r="J68" s="2">
        <f t="shared" si="9"/>
        <v>1140.5904399405217</v>
      </c>
      <c r="K68" s="2" cm="1">
        <f t="array" ref="K68">_xlfn.IFS($C$21="Low",'SS Water_CM'!$H85,$C$21="Medium",'SS Water_CM'!$I85,$C$21="High",'SS Water_CM'!$J85)</f>
        <v>361.97029469557833</v>
      </c>
      <c r="L68" s="2">
        <f>'SS Desalin_Water'!$D$11</f>
        <v>315.45000000000005</v>
      </c>
      <c r="M68" s="2" t="str">
        <f>IF(B68&gt;=$C$25,"0", 'SS Imported_Water'!$D$14)</f>
        <v>0</v>
      </c>
      <c r="N68" s="81">
        <f t="shared" si="0"/>
        <v>677.42029469557838</v>
      </c>
      <c r="O68" s="2">
        <f>'SS NEWater'!$D$12</f>
        <v>247.39999999999998</v>
      </c>
      <c r="P68" s="81">
        <f t="shared" si="15"/>
        <v>247.39999999999998</v>
      </c>
      <c r="Q68" s="2">
        <f t="shared" si="1"/>
        <v>924.82029469557835</v>
      </c>
      <c r="R68" s="2">
        <f t="shared" si="11"/>
        <v>-63.640292686252906</v>
      </c>
      <c r="S68" s="2">
        <f t="shared" si="12"/>
        <v>-257.99565075609496</v>
      </c>
      <c r="T68" s="6">
        <f>CEILING(IF(R68&lt;0, -R68/'SS Desalin_Water'!$C$15,0),1)</f>
        <v>2</v>
      </c>
      <c r="U68" s="6" t="str">
        <f t="shared" si="13"/>
        <v/>
      </c>
      <c r="V68" s="2">
        <f>'SS Desalin_Water'!$C$15*T68</f>
        <v>99.59999999999998</v>
      </c>
      <c r="W68" s="6">
        <f>CEILING(IF(S68&lt;0, -S68/'SS NEWater'!$C$15,0),1)</f>
        <v>4</v>
      </c>
      <c r="X68" s="6" t="str">
        <f t="shared" si="14"/>
        <v/>
      </c>
      <c r="Y68" s="2">
        <f>'SS NEWater'!$C$15*W68</f>
        <v>294</v>
      </c>
      <c r="Z68" s="85">
        <f t="shared" si="2"/>
        <v>777.0202946955784</v>
      </c>
      <c r="AA68" s="85">
        <f t="shared" si="3"/>
        <v>541.4</v>
      </c>
      <c r="AB68" s="2">
        <f t="shared" si="4"/>
        <v>35.959707313747117</v>
      </c>
      <c r="AC68" s="2">
        <f t="shared" si="5"/>
        <v>36.00434924390504</v>
      </c>
    </row>
    <row r="69" spans="2:29">
      <c r="B69" s="6">
        <v>2055</v>
      </c>
      <c r="C69" s="2">
        <f>'DD Pot_Water'!$E76</f>
        <v>377.71216074972381</v>
      </c>
      <c r="D69" s="2">
        <f>'DD Water_Total'!D76</f>
        <v>262.79346789779657</v>
      </c>
      <c r="E69" s="81">
        <f t="shared" si="6"/>
        <v>640.50562864752033</v>
      </c>
      <c r="F69" s="81">
        <f t="shared" si="7"/>
        <v>747.25656675544042</v>
      </c>
      <c r="G69" s="2">
        <f>'DD Water_Total'!E76</f>
        <v>81.960257299165136</v>
      </c>
      <c r="H69" s="2">
        <f>'DD Water_Total'!F76</f>
        <v>444.48556559197726</v>
      </c>
      <c r="I69" s="81">
        <f t="shared" si="8"/>
        <v>526.44582289114237</v>
      </c>
      <c r="J69" s="2">
        <f t="shared" si="9"/>
        <v>1166.9514515386627</v>
      </c>
      <c r="K69" s="2" cm="1">
        <f t="array" ref="K69">_xlfn.IFS($C$21="Low",'SS Water_CM'!$H86,$C$21="Medium",'SS Water_CM'!$I86,$C$21="High",'SS Water_CM'!$J86)</f>
        <v>364.62209172631515</v>
      </c>
      <c r="L69" s="2">
        <f>'SS Desalin_Water'!$D$11</f>
        <v>315.45000000000005</v>
      </c>
      <c r="M69" s="2" t="str">
        <f>IF(B69&gt;=$C$25,"0", 'SS Imported_Water'!$D$14)</f>
        <v>0</v>
      </c>
      <c r="N69" s="81">
        <f t="shared" si="0"/>
        <v>680.07209172631519</v>
      </c>
      <c r="O69" s="2">
        <f>'SS NEWater'!$D$12</f>
        <v>247.39999999999998</v>
      </c>
      <c r="P69" s="81">
        <f t="shared" si="15"/>
        <v>247.39999999999998</v>
      </c>
      <c r="Q69" s="2">
        <f t="shared" si="1"/>
        <v>927.47209172631517</v>
      </c>
      <c r="R69" s="2">
        <f t="shared" si="11"/>
        <v>-67.184475029125224</v>
      </c>
      <c r="S69" s="2">
        <f t="shared" si="12"/>
        <v>-279.04582289114239</v>
      </c>
      <c r="T69" s="6">
        <f>CEILING(IF(R69&lt;0, -R69/'SS Desalin_Water'!$C$15,0),1)</f>
        <v>2</v>
      </c>
      <c r="U69" s="6" t="str">
        <f t="shared" si="13"/>
        <v/>
      </c>
      <c r="V69" s="2">
        <f>'SS Desalin_Water'!$C$15*T69</f>
        <v>99.59999999999998</v>
      </c>
      <c r="W69" s="6">
        <f>CEILING(IF(S69&lt;0, -S69/'SS NEWater'!$C$15,0),1)</f>
        <v>4</v>
      </c>
      <c r="X69" s="6" t="str">
        <f t="shared" si="14"/>
        <v/>
      </c>
      <c r="Y69" s="2">
        <f>'SS NEWater'!$C$15*W69</f>
        <v>294</v>
      </c>
      <c r="Z69" s="85">
        <f t="shared" si="2"/>
        <v>779.67209172631522</v>
      </c>
      <c r="AA69" s="85">
        <f t="shared" si="3"/>
        <v>541.4</v>
      </c>
      <c r="AB69" s="2">
        <f t="shared" si="4"/>
        <v>32.415524970874799</v>
      </c>
      <c r="AC69" s="2">
        <f t="shared" si="5"/>
        <v>14.954177108857607</v>
      </c>
    </row>
    <row r="70" spans="2:29">
      <c r="B70" s="6">
        <v>2056</v>
      </c>
      <c r="C70" s="2">
        <f>'DD Pot_Water'!$E77</f>
        <v>380.852737442185</v>
      </c>
      <c r="D70" s="2">
        <f>'DD Water_Total'!D77</f>
        <v>264.97852606106221</v>
      </c>
      <c r="E70" s="81">
        <f t="shared" si="6"/>
        <v>645.83126350324721</v>
      </c>
      <c r="F70" s="81">
        <f t="shared" si="7"/>
        <v>753.46980742045514</v>
      </c>
      <c r="G70" s="2">
        <f>'DD Water_Total'!E77</f>
        <v>85.361284553949119</v>
      </c>
      <c r="H70" s="2">
        <f>'DD Water_Total'!F77</f>
        <v>462.92996258085532</v>
      </c>
      <c r="I70" s="81">
        <f t="shared" si="8"/>
        <v>548.29124713480439</v>
      </c>
      <c r="J70" s="2">
        <f t="shared" si="9"/>
        <v>1194.1225106380516</v>
      </c>
      <c r="K70" s="2" cm="1">
        <f t="array" ref="K70">_xlfn.IFS($C$21="Low",'SS Water_CM'!$H87,$C$21="Medium",'SS Water_CM'!$I87,$C$21="High",'SS Water_CM'!$J87)</f>
        <v>367.27388875705191</v>
      </c>
      <c r="L70" s="2">
        <f>'SS Desalin_Water'!$D$11</f>
        <v>315.45000000000005</v>
      </c>
      <c r="M70" s="2" t="str">
        <f>IF(B70&gt;=$C$25,"0", 'SS Imported_Water'!$D$14)</f>
        <v>0</v>
      </c>
      <c r="N70" s="81">
        <f t="shared" si="0"/>
        <v>682.72388875705201</v>
      </c>
      <c r="O70" s="2">
        <f>'SS NEWater'!$D$12</f>
        <v>247.39999999999998</v>
      </c>
      <c r="P70" s="81">
        <f t="shared" si="15"/>
        <v>247.39999999999998</v>
      </c>
      <c r="Q70" s="2">
        <f t="shared" si="1"/>
        <v>930.12388875705199</v>
      </c>
      <c r="R70" s="2">
        <f t="shared" si="11"/>
        <v>-70.745918663403131</v>
      </c>
      <c r="S70" s="2">
        <f t="shared" si="12"/>
        <v>-300.89124713480442</v>
      </c>
      <c r="T70" s="6">
        <f>CEILING(IF(R70&lt;0, -R70/'SS Desalin_Water'!$C$15,0),1)</f>
        <v>2</v>
      </c>
      <c r="U70" s="6" t="str">
        <f t="shared" si="13"/>
        <v/>
      </c>
      <c r="V70" s="2">
        <f>'SS Desalin_Water'!$C$15*T70</f>
        <v>99.59999999999998</v>
      </c>
      <c r="W70" s="6">
        <f>CEILING(IF(S70&lt;0, -S70/'SS NEWater'!$C$15,0),1)</f>
        <v>5</v>
      </c>
      <c r="X70" s="6" t="str">
        <f t="shared" si="14"/>
        <v>Year 2056</v>
      </c>
      <c r="Y70" s="2">
        <f>'SS NEWater'!$C$15*W70</f>
        <v>367.5</v>
      </c>
      <c r="Z70" s="85">
        <f t="shared" si="2"/>
        <v>782.32388875705203</v>
      </c>
      <c r="AA70" s="85">
        <f t="shared" si="3"/>
        <v>614.9</v>
      </c>
      <c r="AB70" s="2">
        <f t="shared" si="4"/>
        <v>28.854081336596892</v>
      </c>
      <c r="AC70" s="2">
        <f t="shared" si="5"/>
        <v>66.608752865195584</v>
      </c>
    </row>
    <row r="71" spans="2:29">
      <c r="B71" s="6">
        <v>2057</v>
      </c>
      <c r="C71" s="2">
        <f>'DD Pot_Water'!$E78</f>
        <v>384.00201824716669</v>
      </c>
      <c r="D71" s="2">
        <f>'DD Water_Total'!D78</f>
        <v>267.16964011596144</v>
      </c>
      <c r="E71" s="81">
        <f t="shared" si="6"/>
        <v>651.17165836312813</v>
      </c>
      <c r="F71" s="81">
        <f t="shared" si="7"/>
        <v>759.70026809031617</v>
      </c>
      <c r="G71" s="2">
        <f>'DD Water_Total'!E78</f>
        <v>88.891817938198955</v>
      </c>
      <c r="H71" s="2">
        <f>'DD Water_Total'!F78</f>
        <v>482.0766951540781</v>
      </c>
      <c r="I71" s="81">
        <f t="shared" si="8"/>
        <v>570.96851309227702</v>
      </c>
      <c r="J71" s="2">
        <f t="shared" si="9"/>
        <v>1222.1401714554052</v>
      </c>
      <c r="K71" s="2" cm="1">
        <f t="array" ref="K71">_xlfn.IFS($C$21="Low",'SS Water_CM'!$H88,$C$21="Medium",'SS Water_CM'!$I88,$C$21="High",'SS Water_CM'!$J88)</f>
        <v>369.92568578778884</v>
      </c>
      <c r="L71" s="2">
        <f>'SS Desalin_Water'!$D$11</f>
        <v>315.45000000000005</v>
      </c>
      <c r="M71" s="2" t="str">
        <f>IF(B71&gt;=$C$25,"0", 'SS Imported_Water'!$D$14)</f>
        <v>0</v>
      </c>
      <c r="N71" s="81">
        <f t="shared" si="0"/>
        <v>685.37568578778883</v>
      </c>
      <c r="O71" s="2">
        <f>'SS NEWater'!$D$12</f>
        <v>247.39999999999998</v>
      </c>
      <c r="P71" s="81">
        <f t="shared" si="15"/>
        <v>247.39999999999998</v>
      </c>
      <c r="Q71" s="2">
        <f t="shared" si="1"/>
        <v>932.7756857877888</v>
      </c>
      <c r="R71" s="2">
        <f t="shared" si="11"/>
        <v>-74.324582302527347</v>
      </c>
      <c r="S71" s="2">
        <f t="shared" si="12"/>
        <v>-323.56851309227704</v>
      </c>
      <c r="T71" s="6">
        <f>CEILING(IF(R71&lt;0, -R71/'SS Desalin_Water'!$C$15,0),1)</f>
        <v>2</v>
      </c>
      <c r="U71" s="6" t="str">
        <f t="shared" si="13"/>
        <v/>
      </c>
      <c r="V71" s="2">
        <f>'SS Desalin_Water'!$C$15*T71</f>
        <v>99.59999999999998</v>
      </c>
      <c r="W71" s="6">
        <f>CEILING(IF(S71&lt;0, -S71/'SS NEWater'!$C$15,0),1)</f>
        <v>5</v>
      </c>
      <c r="X71" s="6" t="str">
        <f t="shared" si="14"/>
        <v/>
      </c>
      <c r="Y71" s="2">
        <f>'SS NEWater'!$C$15*W71</f>
        <v>367.5</v>
      </c>
      <c r="Z71" s="85">
        <f t="shared" si="2"/>
        <v>784.97568578778885</v>
      </c>
      <c r="AA71" s="85">
        <f t="shared" si="3"/>
        <v>614.9</v>
      </c>
      <c r="AB71" s="2">
        <f t="shared" si="4"/>
        <v>25.275417697472676</v>
      </c>
      <c r="AC71" s="2">
        <f t="shared" si="5"/>
        <v>43.931486907722956</v>
      </c>
    </row>
    <row r="72" spans="2:29">
      <c r="B72" s="6">
        <v>2058</v>
      </c>
      <c r="C72" s="2">
        <f>'DD Pot_Water'!$E79</f>
        <v>387.15998147458947</v>
      </c>
      <c r="D72" s="2">
        <f>'DD Water_Total'!D79</f>
        <v>269.36679497160839</v>
      </c>
      <c r="E72" s="81">
        <f t="shared" si="6"/>
        <v>656.5267764461978</v>
      </c>
      <c r="F72" s="81">
        <f t="shared" si="7"/>
        <v>765.9479058538974</v>
      </c>
      <c r="G72" s="2">
        <f>'DD Water_Total'!E79</f>
        <v>92.55790203141612</v>
      </c>
      <c r="H72" s="2">
        <f>'DD Water_Total'!F79</f>
        <v>501.95854417919065</v>
      </c>
      <c r="I72" s="81">
        <f t="shared" si="8"/>
        <v>594.51644621060677</v>
      </c>
      <c r="J72" s="2">
        <f t="shared" si="9"/>
        <v>1251.0432226568046</v>
      </c>
      <c r="K72" s="2" cm="1">
        <f t="array" ref="K72">_xlfn.IFS($C$21="Low",'SS Water_CM'!$H89,$C$21="Medium",'SS Water_CM'!$I89,$C$21="High",'SS Water_CM'!$J89)</f>
        <v>372.5774828185256</v>
      </c>
      <c r="L72" s="2">
        <f>'SS Desalin_Water'!$D$11</f>
        <v>315.45000000000005</v>
      </c>
      <c r="M72" s="2" t="str">
        <f>IF(B72&gt;=$C$25,"0", 'SS Imported_Water'!$D$14)</f>
        <v>0</v>
      </c>
      <c r="N72" s="81">
        <f t="shared" si="0"/>
        <v>688.02748281852564</v>
      </c>
      <c r="O72" s="2">
        <f>'SS NEWater'!$D$12</f>
        <v>247.39999999999998</v>
      </c>
      <c r="P72" s="81">
        <f t="shared" si="15"/>
        <v>247.39999999999998</v>
      </c>
      <c r="Q72" s="2">
        <f t="shared" si="1"/>
        <v>935.42748281852562</v>
      </c>
      <c r="R72" s="2">
        <f t="shared" si="11"/>
        <v>-77.920423035371755</v>
      </c>
      <c r="S72" s="2">
        <f t="shared" si="12"/>
        <v>-347.1164462106068</v>
      </c>
      <c r="T72" s="6">
        <f>CEILING(IF(R72&lt;0, -R72/'SS Desalin_Water'!$C$15,0),1)</f>
        <v>2</v>
      </c>
      <c r="U72" s="6" t="str">
        <f t="shared" si="13"/>
        <v/>
      </c>
      <c r="V72" s="2">
        <f>'SS Desalin_Water'!$C$15*T72</f>
        <v>99.59999999999998</v>
      </c>
      <c r="W72" s="6">
        <f>CEILING(IF(S72&lt;0, -S72/'SS NEWater'!$C$15,0),1)</f>
        <v>5</v>
      </c>
      <c r="X72" s="6" t="str">
        <f t="shared" si="14"/>
        <v/>
      </c>
      <c r="Y72" s="2">
        <f>'SS NEWater'!$C$15*W72</f>
        <v>367.5</v>
      </c>
      <c r="Z72" s="85">
        <f t="shared" si="2"/>
        <v>787.62748281852566</v>
      </c>
      <c r="AA72" s="85">
        <f t="shared" si="3"/>
        <v>614.9</v>
      </c>
      <c r="AB72" s="2">
        <f t="shared" si="4"/>
        <v>21.679576964628268</v>
      </c>
      <c r="AC72" s="2">
        <f t="shared" si="5"/>
        <v>20.383553789393204</v>
      </c>
    </row>
    <row r="73" spans="2:29">
      <c r="B73" s="6">
        <v>2059</v>
      </c>
      <c r="C73" s="2">
        <f>'DD Pot_Water'!$E80</f>
        <v>390.32660460193512</v>
      </c>
      <c r="D73" s="2">
        <f>'DD Water_Total'!D80</f>
        <v>271.56997495794707</v>
      </c>
      <c r="E73" s="81">
        <f t="shared" si="6"/>
        <v>661.89657955988218</v>
      </c>
      <c r="F73" s="81">
        <f t="shared" si="7"/>
        <v>772.21267615319584</v>
      </c>
      <c r="G73" s="2">
        <f>'DD Water_Total'!E80</f>
        <v>96.365956525203217</v>
      </c>
      <c r="H73" s="2">
        <f>'DD Water_Total'!F80</f>
        <v>522.61032482572693</v>
      </c>
      <c r="I73" s="81">
        <f t="shared" si="8"/>
        <v>618.97628135093009</v>
      </c>
      <c r="J73" s="2">
        <f t="shared" si="9"/>
        <v>1280.8728609108123</v>
      </c>
      <c r="K73" s="2" cm="1">
        <f t="array" ref="K73">_xlfn.IFS($C$21="Low",'SS Water_CM'!$H90,$C$21="Medium",'SS Water_CM'!$I90,$C$21="High",'SS Water_CM'!$J90)</f>
        <v>375.22927984926247</v>
      </c>
      <c r="L73" s="2">
        <f>'SS Desalin_Water'!$D$11</f>
        <v>315.45000000000005</v>
      </c>
      <c r="M73" s="2" t="str">
        <f>IF(B73&gt;=$C$25,"0", 'SS Imported_Water'!$D$14)</f>
        <v>0</v>
      </c>
      <c r="N73" s="81">
        <f t="shared" si="0"/>
        <v>690.67927984926246</v>
      </c>
      <c r="O73" s="2">
        <f>'SS NEWater'!$D$12</f>
        <v>247.39999999999998</v>
      </c>
      <c r="P73" s="81">
        <f t="shared" si="15"/>
        <v>247.39999999999998</v>
      </c>
      <c r="Q73" s="2">
        <f t="shared" si="1"/>
        <v>938.07927984926243</v>
      </c>
      <c r="R73" s="2">
        <f t="shared" si="11"/>
        <v>-81.533396303933387</v>
      </c>
      <c r="S73" s="2">
        <f t="shared" si="12"/>
        <v>-371.57628135093012</v>
      </c>
      <c r="T73" s="6">
        <f>CEILING(IF(R73&lt;0, -R73/'SS Desalin_Water'!$C$15,0),1)</f>
        <v>2</v>
      </c>
      <c r="U73" s="6" t="str">
        <f t="shared" si="13"/>
        <v/>
      </c>
      <c r="V73" s="2">
        <f>'SS Desalin_Water'!$C$15*T73</f>
        <v>99.59999999999998</v>
      </c>
      <c r="W73" s="6">
        <f>CEILING(IF(S73&lt;0, -S73/'SS NEWater'!$C$15,0),1)</f>
        <v>6</v>
      </c>
      <c r="X73" s="6" t="str">
        <f t="shared" si="14"/>
        <v>Year 2059</v>
      </c>
      <c r="Y73" s="2">
        <f>'SS NEWater'!$C$15*W73</f>
        <v>441</v>
      </c>
      <c r="Z73" s="85">
        <f t="shared" si="2"/>
        <v>790.27927984926248</v>
      </c>
      <c r="AA73" s="85">
        <f t="shared" si="3"/>
        <v>688.4</v>
      </c>
      <c r="AB73" s="2">
        <f t="shared" si="4"/>
        <v>18.066603696066636</v>
      </c>
      <c r="AC73" s="2">
        <f t="shared" si="5"/>
        <v>69.423718649069883</v>
      </c>
    </row>
    <row r="74" spans="2:29">
      <c r="B74" s="6">
        <v>2060</v>
      </c>
      <c r="C74" s="2">
        <f>'DD Pot_Water'!$E81</f>
        <v>393.50186426284546</v>
      </c>
      <c r="D74" s="2">
        <f>'DD Water_Total'!D81</f>
        <v>273.77916381781938</v>
      </c>
      <c r="E74" s="81">
        <f t="shared" si="6"/>
        <v>667.28102808066478</v>
      </c>
      <c r="F74" s="81">
        <f t="shared" si="7"/>
        <v>778.49453276077566</v>
      </c>
      <c r="G74" s="2">
        <f>'DD Water_Total'!E81</f>
        <v>100.32280580470049</v>
      </c>
      <c r="H74" s="2">
        <f>'DD Water_Total'!F81</f>
        <v>544.06904699078621</v>
      </c>
      <c r="I74" s="81">
        <f t="shared" si="8"/>
        <v>644.39185279548667</v>
      </c>
      <c r="J74" s="2">
        <f t="shared" si="9"/>
        <v>1311.6728808761513</v>
      </c>
      <c r="K74" s="2" cm="1">
        <f t="array" ref="K74">_xlfn.IFS($C$21="Low",'SS Water_CM'!$H91,$C$21="Medium",'SS Water_CM'!$I91,$C$21="High",'SS Water_CM'!$J91)</f>
        <v>377.88107688000002</v>
      </c>
      <c r="L74" s="2">
        <f>'SS Desalin_Water'!$D$11</f>
        <v>315.45000000000005</v>
      </c>
      <c r="M74" s="2" t="str">
        <f>IF(B74&gt;=$C$25,"0", 'SS Imported_Water'!$D$14)</f>
        <v>0</v>
      </c>
      <c r="N74" s="81">
        <f t="shared" si="0"/>
        <v>693.33107688000007</v>
      </c>
      <c r="O74" s="2">
        <f>'SS NEWater'!$D$12</f>
        <v>247.39999999999998</v>
      </c>
      <c r="P74" s="81">
        <f t="shared" si="15"/>
        <v>247.39999999999998</v>
      </c>
      <c r="Q74" s="2">
        <f t="shared" si="1"/>
        <v>940.73107688000005</v>
      </c>
      <c r="R74" s="2">
        <f t="shared" si="11"/>
        <v>-85.163455880775587</v>
      </c>
      <c r="S74" s="2">
        <f t="shared" si="12"/>
        <v>-396.99185279548669</v>
      </c>
      <c r="T74" s="6">
        <f>CEILING(IF(R74&lt;0, -R74/'SS Desalin_Water'!$C$15,0),1)</f>
        <v>2</v>
      </c>
      <c r="U74" s="6" t="str">
        <f t="shared" si="13"/>
        <v/>
      </c>
      <c r="V74" s="2">
        <f>'SS Desalin_Water'!$C$15*T74</f>
        <v>99.59999999999998</v>
      </c>
      <c r="W74" s="6">
        <f>CEILING(IF(S74&lt;0, -S74/'SS NEWater'!$C$15,0),1)</f>
        <v>6</v>
      </c>
      <c r="X74" s="6" t="str">
        <f t="shared" si="14"/>
        <v/>
      </c>
      <c r="Y74" s="2">
        <f>'SS NEWater'!$C$15*W74</f>
        <v>441</v>
      </c>
      <c r="Z74" s="85">
        <f t="shared" si="2"/>
        <v>792.93107688000009</v>
      </c>
      <c r="AA74" s="85">
        <f t="shared" si="3"/>
        <v>688.4</v>
      </c>
      <c r="AB74" s="2">
        <f t="shared" si="4"/>
        <v>14.436544119224436</v>
      </c>
      <c r="AC74" s="2">
        <f t="shared" si="5"/>
        <v>44.008147204513307</v>
      </c>
    </row>
    <row r="75" spans="2:29">
      <c r="B75" s="6">
        <v>2061</v>
      </c>
      <c r="C75" s="2">
        <f>'DD Pot_Water'!$E82</f>
        <v>397.79071043124304</v>
      </c>
      <c r="D75" s="2">
        <f>'DD Water_Total'!D82</f>
        <v>276.76313117443362</v>
      </c>
      <c r="E75" s="81">
        <f t="shared" ref="E75:E79" si="16">SUM(C75:D75)</f>
        <v>674.55384160567667</v>
      </c>
      <c r="F75" s="81">
        <f t="shared" si="7"/>
        <v>786.97948187328939</v>
      </c>
      <c r="G75" s="2">
        <f>'DD Water_Total'!E82</f>
        <v>101.41624174580946</v>
      </c>
      <c r="H75" s="2">
        <f>'DD Water_Total'!F82</f>
        <v>549.99895141932393</v>
      </c>
      <c r="I75" s="81">
        <f t="shared" ref="I75:I79" si="17">SUM(G75:H75)</f>
        <v>651.41519316513336</v>
      </c>
      <c r="J75" s="2">
        <f t="shared" ref="J75:J79" si="18">E75+I75</f>
        <v>1325.9690347708101</v>
      </c>
      <c r="K75" s="2" cm="1">
        <f t="array" ref="K75">_xlfn.IFS($C$21="Low",'SS Water_CM'!$H92,$C$21="Medium",'SS Water_CM'!$I92,$C$21="High",'SS Water_CM'!$J92)</f>
        <v>377.88107688000002</v>
      </c>
      <c r="L75" s="2">
        <f>'SS Desalin_Water'!$D$11</f>
        <v>315.45000000000005</v>
      </c>
      <c r="M75" s="2" t="str">
        <f>IF(B75&gt;=$C$25,"0", 'SS Imported_Water'!$D$14)</f>
        <v>0</v>
      </c>
      <c r="N75" s="81">
        <f t="shared" si="0"/>
        <v>693.33107688000007</v>
      </c>
      <c r="O75" s="2">
        <f>'SS NEWater'!$D$12</f>
        <v>247.39999999999998</v>
      </c>
      <c r="P75" s="81">
        <f t="shared" ref="P75:P79" si="19">O75</f>
        <v>247.39999999999998</v>
      </c>
      <c r="Q75" s="2">
        <f t="shared" si="1"/>
        <v>940.73107688000005</v>
      </c>
      <c r="R75" s="2">
        <f t="shared" si="11"/>
        <v>-93.648404993289319</v>
      </c>
      <c r="S75" s="2">
        <f t="shared" si="12"/>
        <v>-404.01519316513338</v>
      </c>
      <c r="T75" s="6">
        <f>CEILING(IF(R75&lt;0, -R75/'SS Desalin_Water'!$C$15,0),1)</f>
        <v>2</v>
      </c>
      <c r="U75" s="6" t="str">
        <f t="shared" si="13"/>
        <v/>
      </c>
      <c r="V75" s="2">
        <f>'SS Desalin_Water'!$C$15*T75</f>
        <v>99.59999999999998</v>
      </c>
      <c r="W75" s="6">
        <f>CEILING(IF(S75&lt;0, -S75/'SS NEWater'!$C$15,0),1)</f>
        <v>6</v>
      </c>
      <c r="X75" s="6" t="str">
        <f t="shared" si="14"/>
        <v/>
      </c>
      <c r="Y75" s="2">
        <f>'SS NEWater'!$C$15*W75</f>
        <v>441</v>
      </c>
      <c r="Z75" s="85">
        <f t="shared" si="2"/>
        <v>792.93107688000009</v>
      </c>
      <c r="AA75" s="85">
        <f t="shared" si="3"/>
        <v>688.4</v>
      </c>
      <c r="AB75" s="2">
        <f t="shared" si="4"/>
        <v>5.9515950067107042</v>
      </c>
      <c r="AC75" s="2">
        <f t="shared" si="5"/>
        <v>36.984806834866617</v>
      </c>
    </row>
    <row r="76" spans="2:29">
      <c r="B76" s="6">
        <v>2062</v>
      </c>
      <c r="C76" s="2">
        <f>'DD Pot_Water'!$E83</f>
        <v>402.11215183052053</v>
      </c>
      <c r="D76" s="2">
        <f>'DD Water_Total'!D83</f>
        <v>279.76977668295808</v>
      </c>
      <c r="E76" s="81">
        <f t="shared" si="16"/>
        <v>681.88192851347867</v>
      </c>
      <c r="F76" s="81">
        <f t="shared" si="7"/>
        <v>795.52891659905845</v>
      </c>
      <c r="G76" s="2">
        <f>'DD Water_Total'!E83</f>
        <v>102.51798780007091</v>
      </c>
      <c r="H76" s="2">
        <f>'DD Water_Total'!F83</f>
        <v>555.97392312151896</v>
      </c>
      <c r="I76" s="81">
        <f t="shared" si="17"/>
        <v>658.49191092158992</v>
      </c>
      <c r="J76" s="2">
        <f t="shared" si="18"/>
        <v>1340.3738394350685</v>
      </c>
      <c r="K76" s="2" cm="1">
        <f t="array" ref="K76">_xlfn.IFS($C$21="Low",'SS Water_CM'!$H93,$C$21="Medium",'SS Water_CM'!$I93,$C$21="High",'SS Water_CM'!$J93)</f>
        <v>377.88107688000002</v>
      </c>
      <c r="L76" s="2">
        <f>'SS Desalin_Water'!$D$11</f>
        <v>315.45000000000005</v>
      </c>
      <c r="M76" s="2" t="str">
        <f>IF(B76&gt;=$C$25,"0", 'SS Imported_Water'!$D$14)</f>
        <v>0</v>
      </c>
      <c r="N76" s="81">
        <f t="shared" si="0"/>
        <v>693.33107688000007</v>
      </c>
      <c r="O76" s="2">
        <f>'SS NEWater'!$D$12</f>
        <v>247.39999999999998</v>
      </c>
      <c r="P76" s="81">
        <f t="shared" si="19"/>
        <v>247.39999999999998</v>
      </c>
      <c r="Q76" s="2">
        <f t="shared" si="1"/>
        <v>940.73107688000005</v>
      </c>
      <c r="R76" s="2">
        <f t="shared" si="11"/>
        <v>-102.19783971905838</v>
      </c>
      <c r="S76" s="2">
        <f t="shared" si="12"/>
        <v>-411.09191092158994</v>
      </c>
      <c r="T76" s="6">
        <f>CEILING(IF(R76&lt;0, -R76/'SS Desalin_Water'!$C$15,0),1)</f>
        <v>3</v>
      </c>
      <c r="U76" s="6" t="str">
        <f t="shared" si="13"/>
        <v>Year 2062</v>
      </c>
      <c r="V76" s="2">
        <f>'SS Desalin_Water'!$C$15*T76</f>
        <v>149.39999999999998</v>
      </c>
      <c r="W76" s="6">
        <f>CEILING(IF(S76&lt;0, -S76/'SS NEWater'!$C$15,0),1)</f>
        <v>6</v>
      </c>
      <c r="X76" s="6" t="str">
        <f t="shared" si="14"/>
        <v/>
      </c>
      <c r="Y76" s="2">
        <f>'SS NEWater'!$C$15*W76</f>
        <v>441</v>
      </c>
      <c r="Z76" s="85">
        <f t="shared" si="2"/>
        <v>842.73107688000005</v>
      </c>
      <c r="AA76" s="85">
        <f t="shared" si="3"/>
        <v>688.4</v>
      </c>
      <c r="AB76" s="2">
        <f t="shared" si="4"/>
        <v>47.202160280941598</v>
      </c>
      <c r="AC76" s="2">
        <f t="shared" si="5"/>
        <v>29.908089078410057</v>
      </c>
    </row>
    <row r="77" spans="2:29">
      <c r="B77" s="6">
        <v>2063</v>
      </c>
      <c r="C77" s="2">
        <f>'DD Pot_Water'!$E84</f>
        <v>406.4664361844325</v>
      </c>
      <c r="D77" s="2">
        <f>'DD Water_Total'!D84</f>
        <v>282.79927269734736</v>
      </c>
      <c r="E77" s="81">
        <f t="shared" si="16"/>
        <v>689.2657088817798</v>
      </c>
      <c r="F77" s="81">
        <f t="shared" si="7"/>
        <v>804.1433270287431</v>
      </c>
      <c r="G77" s="2">
        <f>'DD Water_Total'!E84</f>
        <v>103.62810712434471</v>
      </c>
      <c r="H77" s="2">
        <f>'DD Water_Total'!F84</f>
        <v>561.9943046086504</v>
      </c>
      <c r="I77" s="81">
        <f t="shared" si="17"/>
        <v>665.62241173299515</v>
      </c>
      <c r="J77" s="2">
        <f t="shared" si="18"/>
        <v>1354.8881206147748</v>
      </c>
      <c r="K77" s="2" cm="1">
        <f t="array" ref="K77">_xlfn.IFS($C$21="Low",'SS Water_CM'!$H94,$C$21="Medium",'SS Water_CM'!$I94,$C$21="High",'SS Water_CM'!$J94)</f>
        <v>377.88107688000002</v>
      </c>
      <c r="L77" s="2">
        <f>'SS Desalin_Water'!$D$11</f>
        <v>315.45000000000005</v>
      </c>
      <c r="M77" s="2" t="str">
        <f>IF(B77&gt;=$C$25,"0", 'SS Imported_Water'!$D$14)</f>
        <v>0</v>
      </c>
      <c r="N77" s="81">
        <f t="shared" si="0"/>
        <v>693.33107688000007</v>
      </c>
      <c r="O77" s="2">
        <f>'SS NEWater'!$D$12</f>
        <v>247.39999999999998</v>
      </c>
      <c r="P77" s="81">
        <f t="shared" si="19"/>
        <v>247.39999999999998</v>
      </c>
      <c r="Q77" s="2">
        <f t="shared" si="1"/>
        <v>940.73107688000005</v>
      </c>
      <c r="R77" s="2">
        <f t="shared" si="11"/>
        <v>-110.81225014874303</v>
      </c>
      <c r="S77" s="2">
        <f t="shared" si="12"/>
        <v>-418.22241173299517</v>
      </c>
      <c r="T77" s="6">
        <f>CEILING(IF(R77&lt;0, -R77/'SS Desalin_Water'!$C$15,0),1)</f>
        <v>3</v>
      </c>
      <c r="U77" s="6" t="str">
        <f t="shared" si="13"/>
        <v/>
      </c>
      <c r="V77" s="2">
        <f>'SS Desalin_Water'!$C$15*T77</f>
        <v>149.39999999999998</v>
      </c>
      <c r="W77" s="6">
        <f>CEILING(IF(S77&lt;0, -S77/'SS NEWater'!$C$15,0),1)</f>
        <v>6</v>
      </c>
      <c r="X77" s="6" t="str">
        <f t="shared" si="14"/>
        <v/>
      </c>
      <c r="Y77" s="2">
        <f>'SS NEWater'!$C$15*W77</f>
        <v>441</v>
      </c>
      <c r="Z77" s="85">
        <f t="shared" si="2"/>
        <v>842.73107688000005</v>
      </c>
      <c r="AA77" s="85">
        <f t="shared" si="3"/>
        <v>688.4</v>
      </c>
      <c r="AB77" s="2">
        <f t="shared" si="4"/>
        <v>38.587749851256945</v>
      </c>
      <c r="AC77" s="2">
        <f t="shared" si="5"/>
        <v>22.77758826700483</v>
      </c>
    </row>
    <row r="78" spans="2:29">
      <c r="B78" s="6">
        <v>2064</v>
      </c>
      <c r="C78" s="2">
        <f>'DD Pot_Water'!$E85</f>
        <v>410.85381309943426</v>
      </c>
      <c r="D78" s="2">
        <f>'DD Water_Total'!D85</f>
        <v>285.85179288144599</v>
      </c>
      <c r="E78" s="81">
        <f t="shared" si="16"/>
        <v>696.70560598088025</v>
      </c>
      <c r="F78" s="81">
        <f t="shared" si="7"/>
        <v>812.82320697769364</v>
      </c>
      <c r="G78" s="2">
        <f>'DD Water_Total'!E85</f>
        <v>104.74666335548302</v>
      </c>
      <c r="H78" s="2">
        <f>'DD Water_Total'!F85</f>
        <v>568.06044099508415</v>
      </c>
      <c r="I78" s="81">
        <f t="shared" si="17"/>
        <v>672.80710435056722</v>
      </c>
      <c r="J78" s="2">
        <f t="shared" si="18"/>
        <v>1369.5127103314476</v>
      </c>
      <c r="K78" s="2" cm="1">
        <f t="array" ref="K78">_xlfn.IFS($C$21="Low",'SS Water_CM'!$H95,$C$21="Medium",'SS Water_CM'!$I95,$C$21="High",'SS Water_CM'!$J95)</f>
        <v>377.88107688000002</v>
      </c>
      <c r="L78" s="2">
        <f>'SS Desalin_Water'!$D$11</f>
        <v>315.45000000000005</v>
      </c>
      <c r="M78" s="2" t="str">
        <f>IF(B78&gt;=$C$25,"0", 'SS Imported_Water'!$D$14)</f>
        <v>0</v>
      </c>
      <c r="N78" s="81">
        <f t="shared" si="0"/>
        <v>693.33107688000007</v>
      </c>
      <c r="O78" s="2">
        <f>'SS NEWater'!$D$12</f>
        <v>247.39999999999998</v>
      </c>
      <c r="P78" s="81">
        <f t="shared" si="19"/>
        <v>247.39999999999998</v>
      </c>
      <c r="Q78" s="2">
        <f t="shared" si="1"/>
        <v>940.73107688000005</v>
      </c>
      <c r="R78" s="2">
        <f t="shared" si="11"/>
        <v>-119.49213009769358</v>
      </c>
      <c r="S78" s="2">
        <f t="shared" si="12"/>
        <v>-425.40710435056724</v>
      </c>
      <c r="T78" s="6">
        <f>CEILING(IF(R78&lt;0, -R78/'SS Desalin_Water'!$C$15,0),1)</f>
        <v>3</v>
      </c>
      <c r="U78" s="6" t="str">
        <f t="shared" si="13"/>
        <v/>
      </c>
      <c r="V78" s="2">
        <f>'SS Desalin_Water'!$C$15*T78</f>
        <v>149.39999999999998</v>
      </c>
      <c r="W78" s="6">
        <f>CEILING(IF(S78&lt;0, -S78/'SS NEWater'!$C$15,0),1)</f>
        <v>6</v>
      </c>
      <c r="X78" s="6" t="str">
        <f t="shared" si="14"/>
        <v/>
      </c>
      <c r="Y78" s="2">
        <f>'SS NEWater'!$C$15*W78</f>
        <v>441</v>
      </c>
      <c r="Z78" s="85">
        <f t="shared" si="2"/>
        <v>842.73107688000005</v>
      </c>
      <c r="AA78" s="85">
        <f t="shared" si="3"/>
        <v>688.4</v>
      </c>
      <c r="AB78" s="2">
        <f t="shared" si="4"/>
        <v>29.907869902306402</v>
      </c>
      <c r="AC78" s="2">
        <f t="shared" si="5"/>
        <v>15.592895649432762</v>
      </c>
    </row>
    <row r="79" spans="2:29">
      <c r="B79" s="6">
        <v>2065</v>
      </c>
      <c r="C79" s="2">
        <f>'DD Pot_Water'!$E86</f>
        <v>415.27453407899003</v>
      </c>
      <c r="D79" s="2">
        <f>'DD Water_Total'!D86</f>
        <v>288.92751221894378</v>
      </c>
      <c r="E79" s="81">
        <f t="shared" si="16"/>
        <v>704.20204629793375</v>
      </c>
      <c r="F79" s="81">
        <f t="shared" si="7"/>
        <v>821.56905401425604</v>
      </c>
      <c r="G79" s="2">
        <f>'DD Water_Total'!E86</f>
        <v>105.87372061397799</v>
      </c>
      <c r="H79" s="2">
        <f>'DD Water_Total'!F86</f>
        <v>574.17268001805496</v>
      </c>
      <c r="I79" s="81">
        <f t="shared" si="17"/>
        <v>680.04640063203294</v>
      </c>
      <c r="J79" s="2">
        <f t="shared" si="18"/>
        <v>1384.2484469299666</v>
      </c>
      <c r="K79" s="2" cm="1">
        <f t="array" ref="K79">_xlfn.IFS($C$21="Low",'SS Water_CM'!$H96,$C$21="Medium",'SS Water_CM'!$I96,$C$21="High",'SS Water_CM'!$J96)</f>
        <v>377.88107688000002</v>
      </c>
      <c r="L79" s="2">
        <f>'SS Desalin_Water'!$D$11</f>
        <v>315.45000000000005</v>
      </c>
      <c r="M79" s="2" t="str">
        <f>IF(B79&gt;=$C$25,"0", 'SS Imported_Water'!$D$14)</f>
        <v>0</v>
      </c>
      <c r="N79" s="81">
        <f t="shared" si="0"/>
        <v>693.33107688000007</v>
      </c>
      <c r="O79" s="2">
        <f>'SS NEWater'!$D$12</f>
        <v>247.39999999999998</v>
      </c>
      <c r="P79" s="81">
        <f t="shared" si="19"/>
        <v>247.39999999999998</v>
      </c>
      <c r="Q79" s="2">
        <f t="shared" si="1"/>
        <v>940.73107688000005</v>
      </c>
      <c r="R79" s="2">
        <f t="shared" si="11"/>
        <v>-128.23797713425597</v>
      </c>
      <c r="S79" s="2">
        <f t="shared" si="12"/>
        <v>-432.64640063203296</v>
      </c>
      <c r="T79" s="6">
        <f>CEILING(IF(R79&lt;0, -R79/'SS Desalin_Water'!$C$15,0),1)</f>
        <v>3</v>
      </c>
      <c r="U79" s="6" t="str">
        <f t="shared" si="13"/>
        <v/>
      </c>
      <c r="V79" s="2">
        <f>'SS Desalin_Water'!$C$15*T79</f>
        <v>149.39999999999998</v>
      </c>
      <c r="W79" s="6">
        <f>CEILING(IF(S79&lt;0, -S79/'SS NEWater'!$C$15,0),1)</f>
        <v>6</v>
      </c>
      <c r="X79" s="6" t="str">
        <f t="shared" si="14"/>
        <v/>
      </c>
      <c r="Y79" s="2">
        <f>'SS NEWater'!$C$15*W79</f>
        <v>441</v>
      </c>
      <c r="Z79" s="85">
        <f t="shared" si="2"/>
        <v>842.73107688000005</v>
      </c>
      <c r="AA79" s="85">
        <f t="shared" si="3"/>
        <v>688.4</v>
      </c>
      <c r="AB79" s="2">
        <f t="shared" si="4"/>
        <v>21.162022865744007</v>
      </c>
      <c r="AC79" s="2">
        <f t="shared" si="5"/>
        <v>8.3535993679670355</v>
      </c>
    </row>
    <row r="133" ht="13.95" customHeight="1"/>
  </sheetData>
  <sheetProtection sheet="1" objects="1" scenarios="1"/>
  <mergeCells count="12">
    <mergeCell ref="B33:B34"/>
    <mergeCell ref="J33:J34"/>
    <mergeCell ref="G33:I33"/>
    <mergeCell ref="K33:N33"/>
    <mergeCell ref="O33:P33"/>
    <mergeCell ref="T33:V33"/>
    <mergeCell ref="Z33:AA33"/>
    <mergeCell ref="C33:F33"/>
    <mergeCell ref="AB33:AC33"/>
    <mergeCell ref="R33:S33"/>
    <mergeCell ref="Q33:Q34"/>
    <mergeCell ref="W33:Y3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1CAAA-CE2A-46E8-B6A2-F672026D17DE}">
  <sheetPr codeName="Sheet18">
    <tabColor theme="2" tint="-9.9978637043366805E-2"/>
  </sheetPr>
  <dimension ref="B1:H73"/>
  <sheetViews>
    <sheetView showGridLines="0" zoomScaleNormal="100" workbookViewId="0">
      <selection activeCell="I13" sqref="I13"/>
    </sheetView>
  </sheetViews>
  <sheetFormatPr defaultRowHeight="13.8"/>
  <cols>
    <col min="1" max="1" width="2.59765625" customWidth="1"/>
    <col min="2" max="2" width="21.19921875" customWidth="1"/>
    <col min="3" max="3" width="34.19921875" customWidth="1"/>
    <col min="4" max="5" width="31.19921875" customWidth="1"/>
    <col min="6" max="6" width="2.69921875" customWidth="1"/>
    <col min="7" max="8" width="17.5" customWidth="1"/>
    <col min="9" max="9" width="27.59765625" customWidth="1"/>
    <col min="10" max="10" width="27.19921875" customWidth="1"/>
    <col min="11" max="11" width="29" customWidth="1"/>
    <col min="12" max="12" width="30.19921875" customWidth="1"/>
    <col min="13" max="13" width="27.69921875" customWidth="1"/>
    <col min="14" max="14" width="26.5" customWidth="1"/>
    <col min="16" max="16" width="20.59765625" customWidth="1"/>
    <col min="17" max="17" width="15.5" customWidth="1"/>
  </cols>
  <sheetData>
    <row r="1" spans="2:8" ht="21">
      <c r="B1" s="8" t="s">
        <v>144</v>
      </c>
      <c r="C1" s="8"/>
      <c r="D1" s="8"/>
      <c r="E1" s="8"/>
      <c r="F1" s="8"/>
      <c r="G1" s="8"/>
    </row>
    <row r="2" spans="2:8" ht="14.4">
      <c r="B2" s="10"/>
    </row>
    <row r="3" spans="2:8">
      <c r="D3" s="29"/>
      <c r="E3" s="29"/>
    </row>
    <row r="4" spans="2:8" ht="14.4">
      <c r="B4" s="10" t="s">
        <v>3</v>
      </c>
      <c r="C4" s="15" t="s">
        <v>145</v>
      </c>
      <c r="D4" s="9" t="s">
        <v>146</v>
      </c>
      <c r="E4" s="9" t="s">
        <v>147</v>
      </c>
    </row>
    <row r="5" spans="2:8">
      <c r="B5" s="28" t="s">
        <v>148</v>
      </c>
      <c r="C5" s="176" t="s">
        <v>149</v>
      </c>
      <c r="D5" s="22">
        <v>1.24E-2</v>
      </c>
      <c r="E5" s="22">
        <v>1.24E-2</v>
      </c>
    </row>
    <row r="6" spans="2:8">
      <c r="B6" s="18" t="s">
        <v>150</v>
      </c>
      <c r="C6" s="177"/>
      <c r="D6" s="6">
        <v>30000</v>
      </c>
      <c r="E6" s="6">
        <v>60000</v>
      </c>
    </row>
    <row r="7" spans="2:8">
      <c r="B7" s="4" t="s">
        <v>151</v>
      </c>
      <c r="C7" s="178"/>
      <c r="D7" s="22">
        <v>4.7999999999999996E-3</v>
      </c>
      <c r="E7" s="22">
        <v>4.7999999999999996E-3</v>
      </c>
    </row>
    <row r="10" spans="2:8" ht="14.4">
      <c r="B10" s="10" t="s">
        <v>66</v>
      </c>
      <c r="D10" s="29"/>
      <c r="E10" s="29"/>
    </row>
    <row r="11" spans="2:8" ht="14.4">
      <c r="C11" s="173" t="s">
        <v>4</v>
      </c>
      <c r="D11" s="173"/>
      <c r="E11" s="173"/>
      <c r="G11" s="117"/>
    </row>
    <row r="12" spans="2:8">
      <c r="B12" s="15" t="s">
        <v>25</v>
      </c>
      <c r="C12" s="15" t="s">
        <v>145</v>
      </c>
      <c r="D12" s="9" t="s">
        <v>146</v>
      </c>
      <c r="E12" s="9" t="s">
        <v>147</v>
      </c>
      <c r="G12" s="13"/>
      <c r="H12" s="13"/>
    </row>
    <row r="13" spans="2:8">
      <c r="B13" s="6">
        <v>2010</v>
      </c>
      <c r="C13" s="20">
        <v>5076732</v>
      </c>
      <c r="D13" s="20">
        <f t="shared" ref="D13:E23" si="0">$C13</f>
        <v>5076732</v>
      </c>
      <c r="E13" s="20">
        <f t="shared" si="0"/>
        <v>5076732</v>
      </c>
      <c r="G13" s="7"/>
      <c r="H13" s="118"/>
    </row>
    <row r="14" spans="2:8">
      <c r="B14" s="6">
        <v>2011</v>
      </c>
      <c r="C14" s="20">
        <v>5183688</v>
      </c>
      <c r="D14" s="20">
        <f t="shared" si="0"/>
        <v>5183688</v>
      </c>
      <c r="E14" s="20">
        <f t="shared" si="0"/>
        <v>5183688</v>
      </c>
      <c r="G14" s="7"/>
      <c r="H14" s="118"/>
    </row>
    <row r="15" spans="2:8">
      <c r="B15" s="6">
        <v>2012</v>
      </c>
      <c r="C15" s="20">
        <v>5312437</v>
      </c>
      <c r="D15" s="20">
        <f t="shared" si="0"/>
        <v>5312437</v>
      </c>
      <c r="E15" s="20">
        <f t="shared" si="0"/>
        <v>5312437</v>
      </c>
      <c r="G15" s="7"/>
      <c r="H15" s="118"/>
    </row>
    <row r="16" spans="2:8">
      <c r="B16" s="6">
        <v>2013</v>
      </c>
      <c r="C16" s="20">
        <v>5399162</v>
      </c>
      <c r="D16" s="20">
        <f t="shared" si="0"/>
        <v>5399162</v>
      </c>
      <c r="E16" s="20">
        <f t="shared" si="0"/>
        <v>5399162</v>
      </c>
      <c r="G16" s="7"/>
      <c r="H16" s="118"/>
    </row>
    <row r="17" spans="2:8">
      <c r="B17" s="6">
        <v>2014</v>
      </c>
      <c r="C17" s="20">
        <v>5469724</v>
      </c>
      <c r="D17" s="20">
        <f t="shared" si="0"/>
        <v>5469724</v>
      </c>
      <c r="E17" s="20">
        <f t="shared" si="0"/>
        <v>5469724</v>
      </c>
      <c r="G17" s="7"/>
      <c r="H17" s="118"/>
    </row>
    <row r="18" spans="2:8">
      <c r="B18" s="6">
        <v>2015</v>
      </c>
      <c r="C18" s="20">
        <v>5535002</v>
      </c>
      <c r="D18" s="20">
        <f t="shared" si="0"/>
        <v>5535002</v>
      </c>
      <c r="E18" s="20">
        <f t="shared" si="0"/>
        <v>5535002</v>
      </c>
      <c r="G18" s="7"/>
      <c r="H18" s="118"/>
    </row>
    <row r="19" spans="2:8">
      <c r="B19" s="6">
        <v>2016</v>
      </c>
      <c r="C19" s="20">
        <v>5607283</v>
      </c>
      <c r="D19" s="20">
        <f t="shared" si="0"/>
        <v>5607283</v>
      </c>
      <c r="E19" s="20">
        <f t="shared" si="0"/>
        <v>5607283</v>
      </c>
      <c r="G19" s="7"/>
      <c r="H19" s="118"/>
    </row>
    <row r="20" spans="2:8">
      <c r="B20" s="6">
        <v>2017</v>
      </c>
      <c r="C20" s="20">
        <v>5612253</v>
      </c>
      <c r="D20" s="20">
        <f t="shared" si="0"/>
        <v>5612253</v>
      </c>
      <c r="E20" s="20">
        <f t="shared" si="0"/>
        <v>5612253</v>
      </c>
      <c r="G20" s="7"/>
      <c r="H20" s="118"/>
    </row>
    <row r="21" spans="2:8">
      <c r="B21" s="6">
        <v>2018</v>
      </c>
      <c r="C21" s="20">
        <v>5638676</v>
      </c>
      <c r="D21" s="20">
        <f t="shared" si="0"/>
        <v>5638676</v>
      </c>
      <c r="E21" s="20">
        <f t="shared" si="0"/>
        <v>5638676</v>
      </c>
      <c r="G21" s="7"/>
      <c r="H21" s="118"/>
    </row>
    <row r="22" spans="2:8">
      <c r="B22" s="6">
        <v>2019</v>
      </c>
      <c r="C22" s="20">
        <v>5703569</v>
      </c>
      <c r="D22" s="20">
        <f t="shared" si="0"/>
        <v>5703569</v>
      </c>
      <c r="E22" s="20">
        <f t="shared" si="0"/>
        <v>5703569</v>
      </c>
      <c r="G22" s="7"/>
      <c r="H22" s="118"/>
    </row>
    <row r="23" spans="2:8">
      <c r="B23" s="6">
        <v>2020</v>
      </c>
      <c r="C23" s="20">
        <v>5685807</v>
      </c>
      <c r="D23" s="20">
        <f t="shared" si="0"/>
        <v>5685807</v>
      </c>
      <c r="E23" s="20">
        <f t="shared" si="0"/>
        <v>5685807</v>
      </c>
    </row>
    <row r="24" spans="2:8">
      <c r="B24" s="7"/>
      <c r="C24" s="29"/>
      <c r="D24" s="29"/>
      <c r="E24" s="29"/>
    </row>
    <row r="25" spans="2:8">
      <c r="B25" s="7"/>
      <c r="C25" s="29"/>
      <c r="D25" s="29"/>
      <c r="E25" s="29"/>
    </row>
    <row r="26" spans="2:8" ht="14.4">
      <c r="B26" s="10" t="s">
        <v>72</v>
      </c>
      <c r="C26" s="29"/>
      <c r="D26" s="29"/>
      <c r="E26" s="29"/>
      <c r="G26" s="10" t="s">
        <v>152</v>
      </c>
    </row>
    <row r="27" spans="2:8">
      <c r="C27" s="173" t="s">
        <v>4</v>
      </c>
      <c r="D27" s="173"/>
      <c r="E27" s="173"/>
      <c r="G27" s="15" t="s">
        <v>25</v>
      </c>
      <c r="H27" s="15" t="s">
        <v>153</v>
      </c>
    </row>
    <row r="28" spans="2:8" ht="15" customHeight="1">
      <c r="B28" s="15" t="s">
        <v>25</v>
      </c>
      <c r="C28" s="15" t="s">
        <v>145</v>
      </c>
      <c r="D28" s="9" t="s">
        <v>146</v>
      </c>
      <c r="E28" s="9" t="s">
        <v>147</v>
      </c>
      <c r="G28" s="6">
        <v>2021</v>
      </c>
      <c r="H28" s="27">
        <v>5896686</v>
      </c>
    </row>
    <row r="29" spans="2:8" ht="14.25" customHeight="1">
      <c r="B29" s="6">
        <v>2021</v>
      </c>
      <c r="C29" s="27" cm="1">
        <f t="array" ref="C29">_xlfn.IFS(B29&lt;=2025,VLOOKUP(B29,$G$28:$H$40,2), B29 = 2065,VLOOKUP(B29,$G$28:$H$40,2), B29&lt;2065, FORECAST(B29,INDEX($H$28:$H$40,MATCH(B29,$G$28:$G$40,1)):INDEX($H$28:$H$40,MATCH(B29,$G$28:$G$40,1)+1),INDEX($G$28:$G$40,MATCH(B29,$G$28:$G$40,1)):INDEX($G$28:$G$40,MATCH(B29,$G$28:$G$40,1)+1)))</f>
        <v>5896686</v>
      </c>
      <c r="D29" s="27">
        <f>IF($B29=2021, D$23*(1+D$5-D$7)+D$6, D28*(1+D$5-D$7)+D$6)</f>
        <v>5759019.1332</v>
      </c>
      <c r="E29" s="27">
        <f>IF($B29=2021, E$23*(1+E$5-E$7)+E$6, E28*(1+E$5-E$7)+E$6)</f>
        <v>5789019.1332</v>
      </c>
      <c r="G29" s="6">
        <v>2022</v>
      </c>
      <c r="H29" s="27">
        <v>5943546</v>
      </c>
    </row>
    <row r="30" spans="2:8" ht="14.25" customHeight="1">
      <c r="B30" s="6">
        <v>2022</v>
      </c>
      <c r="C30" s="27" cm="1">
        <f t="array" ref="C30">_xlfn.IFS(B30&lt;=2025,VLOOKUP(B30,$G$28:$H$40,2), B30 = 2065,VLOOKUP(B30,$G$28:$H$40,2), B30&lt;2065, FORECAST(B30,INDEX($H$28:$H$40,MATCH(B30,$G$28:$G$40,1)):INDEX($H$28:$H$40,MATCH(B30,$G$28:$G$40,1)+1),INDEX($G$28:$G$40,MATCH(B30,$G$28:$G$40,1)):INDEX($G$28:$G$40,MATCH(B30,$G$28:$G$40,1)+1)))</f>
        <v>5943546</v>
      </c>
      <c r="D30" s="27">
        <f t="shared" ref="D30:D67" si="1">IF($B30=2021, D$23*(1+D$5-D$7)+D$6, D29*(1+D$5-D$7)+D$6)</f>
        <v>5832787.6786123207</v>
      </c>
      <c r="E30" s="27">
        <f t="shared" ref="E30:E73" si="2">IF($B30=2021, E$23*(1+E$5-E$7)+E$6, E29*(1+E$5-E$7)+E$6)</f>
        <v>5893015.6786123207</v>
      </c>
      <c r="G30" s="6">
        <v>2023</v>
      </c>
      <c r="H30" s="27">
        <v>5990291</v>
      </c>
    </row>
    <row r="31" spans="2:8" ht="14.25" customHeight="1">
      <c r="B31" s="6">
        <v>2023</v>
      </c>
      <c r="C31" s="27" cm="1">
        <f t="array" ref="C31">_xlfn.IFS(B31&lt;=2025,VLOOKUP(B31,$G$28:$H$40,2), B31 = 2065,VLOOKUP(B31,$G$28:$H$40,2), B31&lt;2065, FORECAST(B31,INDEX($H$28:$H$40,MATCH(B31,$G$28:$G$40,1)):INDEX($H$28:$H$40,MATCH(B31,$G$28:$G$40,1)+1),INDEX($G$28:$G$40,MATCH(B31,$G$28:$G$40,1)):INDEX($G$28:$G$40,MATCH(B31,$G$28:$G$40,1)+1)))</f>
        <v>5990291</v>
      </c>
      <c r="D31" s="27">
        <f>IF($B31=2021, D$23*(1+D$5-D$7)+D$6, D30*(1+D$5-D$7)+D$6)</f>
        <v>5907116.8649697751</v>
      </c>
      <c r="E31" s="27">
        <f t="shared" si="2"/>
        <v>5997802.5977697745</v>
      </c>
      <c r="G31" s="6">
        <v>2024</v>
      </c>
      <c r="H31" s="27">
        <v>6035674</v>
      </c>
    </row>
    <row r="32" spans="2:8">
      <c r="B32" s="6">
        <v>2024</v>
      </c>
      <c r="C32" s="27" cm="1">
        <f t="array" ref="C32">_xlfn.IFS(B32&lt;=2025,VLOOKUP(B32,$G$28:$H$40,2), B32 = 2065,VLOOKUP(B32,$G$28:$H$40,2), B32&lt;2065, FORECAST(B32,INDEX($H$28:$H$40,MATCH(B32,$G$28:$G$40,1)):INDEX($H$28:$H$40,MATCH(B32,$G$28:$G$40,1)+1),INDEX($G$28:$G$40,MATCH(B32,$G$28:$G$40,1)):INDEX($G$28:$G$40,MATCH(B32,$G$28:$G$40,1)+1)))</f>
        <v>6035674</v>
      </c>
      <c r="D32" s="27">
        <f>IF($B32=2021, D$23*(1+D$5-D$7)+D$6, D31*(1+D$5-D$7)+D$6)</f>
        <v>5982010.9531435454</v>
      </c>
      <c r="E32" s="27">
        <f t="shared" si="2"/>
        <v>6103385.8975128252</v>
      </c>
      <c r="G32" s="6">
        <v>2025</v>
      </c>
      <c r="H32" s="27">
        <v>6078764</v>
      </c>
    </row>
    <row r="33" spans="2:8">
      <c r="B33" s="6">
        <v>2025</v>
      </c>
      <c r="C33" s="27" cm="1">
        <f t="array" ref="C33">_xlfn.IFS(B33&lt;=2025,VLOOKUP(B33,$G$28:$H$40,2), B33 = 2065,VLOOKUP(B33,$G$28:$H$40,2), B33&lt;2065, FORECAST(B33,INDEX($H$28:$H$40,MATCH(B33,$G$28:$G$40,1)):INDEX($H$28:$H$40,MATCH(B33,$G$28:$G$40,1)+1),INDEX($G$28:$G$40,MATCH(B33,$G$28:$G$40,1)):INDEX($G$28:$G$40,MATCH(B33,$G$28:$G$40,1)+1)))</f>
        <v>6078764</v>
      </c>
      <c r="D33" s="27">
        <f t="shared" si="1"/>
        <v>6057474.2363874363</v>
      </c>
      <c r="E33" s="27">
        <f t="shared" si="2"/>
        <v>6209771.6303339228</v>
      </c>
      <c r="G33" s="6">
        <v>2030</v>
      </c>
      <c r="H33" s="27">
        <v>6262466</v>
      </c>
    </row>
    <row r="34" spans="2:8">
      <c r="B34" s="6">
        <v>2026</v>
      </c>
      <c r="C34" s="27" cm="1">
        <f t="array" ref="C34">_xlfn.IFS(B34&lt;=2025,VLOOKUP(B34,$G$28:$H$40,2), B34 = 2065,VLOOKUP(B34,$G$28:$H$40,2), B34&lt;2065, FORECAST(B34,INDEX($H$28:$H$40,MATCH(B34,$G$28:$G$40,1)):INDEX($H$28:$H$40,MATCH(B34,$G$28:$G$40,1)+1),INDEX($G$28:$G$40,MATCH(B34,$G$28:$G$40,1)):INDEX($G$28:$G$40,MATCH(B34,$G$28:$G$40,1)+1)))</f>
        <v>6115504.400000006</v>
      </c>
      <c r="D34" s="27">
        <f t="shared" si="1"/>
        <v>6133511.0405839812</v>
      </c>
      <c r="E34" s="27">
        <f t="shared" si="2"/>
        <v>6316965.8947244613</v>
      </c>
      <c r="G34" s="6">
        <v>2035</v>
      </c>
      <c r="H34" s="27">
        <v>6386461</v>
      </c>
    </row>
    <row r="35" spans="2:8">
      <c r="B35" s="6">
        <v>2027</v>
      </c>
      <c r="C35" s="27" cm="1">
        <f t="array" ref="C35">_xlfn.IFS(B35&lt;=2025,VLOOKUP(B35,$G$28:$H$40,2), B35 = 2065,VLOOKUP(B35,$G$28:$H$40,2), B35&lt;2065, FORECAST(B35,INDEX($H$28:$H$40,MATCH(B35,$G$28:$G$40,1)):INDEX($H$28:$H$40,MATCH(B35,$G$28:$G$40,1)+1),INDEX($G$28:$G$40,MATCH(B35,$G$28:$G$40,1)):INDEX($G$28:$G$40,MATCH(B35,$G$28:$G$40,1)+1)))</f>
        <v>6152244.799999997</v>
      </c>
      <c r="D35" s="27">
        <f t="shared" si="1"/>
        <v>6210125.7244924195</v>
      </c>
      <c r="E35" s="27">
        <f t="shared" si="2"/>
        <v>6424974.8355243672</v>
      </c>
      <c r="G35" s="6">
        <v>2040</v>
      </c>
      <c r="H35" s="27">
        <v>6445496</v>
      </c>
    </row>
    <row r="36" spans="2:8">
      <c r="B36" s="6">
        <v>2028</v>
      </c>
      <c r="C36" s="27" cm="1">
        <f t="array" ref="C36">_xlfn.IFS(B36&lt;=2025,VLOOKUP(B36,$G$28:$H$40,2), B36 = 2065,VLOOKUP(B36,$G$28:$H$40,2), B36&lt;2065, FORECAST(B36,INDEX($H$28:$H$40,MATCH(B36,$G$28:$G$40,1)):INDEX($H$28:$H$40,MATCH(B36,$G$28:$G$40,1)+1),INDEX($G$28:$G$40,MATCH(B36,$G$28:$G$40,1)):INDEX($G$28:$G$40,MATCH(B36,$G$28:$G$40,1)+1)))</f>
        <v>6188985.200000003</v>
      </c>
      <c r="D36" s="27">
        <f t="shared" si="1"/>
        <v>6287322.6799985627</v>
      </c>
      <c r="E36" s="27">
        <f t="shared" si="2"/>
        <v>6533804.644274353</v>
      </c>
      <c r="G36" s="6">
        <v>2045</v>
      </c>
      <c r="H36" s="27">
        <v>6447179</v>
      </c>
    </row>
    <row r="37" spans="2:8">
      <c r="B37" s="6">
        <v>2029</v>
      </c>
      <c r="C37" s="27" cm="1">
        <f t="array" ref="C37">_xlfn.IFS(B37&lt;=2025,VLOOKUP(B37,$G$28:$H$40,2), B37 = 2065,VLOOKUP(B37,$G$28:$H$40,2), B37&lt;2065, FORECAST(B37,INDEX($H$28:$H$40,MATCH(B37,$G$28:$G$40,1)):INDEX($H$28:$H$40,MATCH(B37,$G$28:$G$40,1)+1),INDEX($G$28:$G$40,MATCH(B37,$G$28:$G$40,1)):INDEX($G$28:$G$40,MATCH(B37,$G$28:$G$40,1)+1)))</f>
        <v>6225725.6000000089</v>
      </c>
      <c r="D37" s="27">
        <f t="shared" si="1"/>
        <v>6365106.3323665522</v>
      </c>
      <c r="E37" s="27">
        <f t="shared" si="2"/>
        <v>6643461.5595708387</v>
      </c>
      <c r="G37" s="6">
        <v>2050</v>
      </c>
      <c r="H37" s="27">
        <v>6407532</v>
      </c>
    </row>
    <row r="38" spans="2:8">
      <c r="B38" s="6">
        <v>2030</v>
      </c>
      <c r="C38" s="27" cm="1">
        <f t="array" ref="C38">_xlfn.IFS(B38&lt;=2025,VLOOKUP(B38,$G$28:$H$40,2), B38 = 2065,VLOOKUP(B38,$G$28:$H$40,2), B38&lt;2065, FORECAST(B38,INDEX($H$28:$H$40,MATCH(B38,$G$28:$G$40,1)):INDEX($H$28:$H$40,MATCH(B38,$G$28:$G$40,1)+1),INDEX($G$28:$G$40,MATCH(B38,$G$28:$G$40,1)):INDEX($G$28:$G$40,MATCH(B38,$G$28:$G$40,1)+1)))</f>
        <v>6262466</v>
      </c>
      <c r="D38" s="27">
        <f t="shared" si="1"/>
        <v>6443481.140492538</v>
      </c>
      <c r="E38" s="27">
        <f t="shared" si="2"/>
        <v>6753951.8674235772</v>
      </c>
      <c r="G38" s="6">
        <v>2055</v>
      </c>
      <c r="H38" s="27">
        <v>6342831</v>
      </c>
    </row>
    <row r="39" spans="2:8">
      <c r="B39" s="6">
        <v>2031</v>
      </c>
      <c r="C39" s="27" cm="1">
        <f t="array" ref="C39">_xlfn.IFS(B39&lt;=2025,VLOOKUP(B39,$G$28:$H$40,2), B39 = 2065,VLOOKUP(B39,$G$28:$H$40,2), B39&lt;2065, FORECAST(B39,INDEX($H$28:$H$40,MATCH(B39,$G$28:$G$40,1)):INDEX($H$28:$H$40,MATCH(B39,$G$28:$G$40,1)+1),INDEX($G$28:$G$40,MATCH(B39,$G$28:$G$40,1)):INDEX($G$28:$G$40,MATCH(B39,$G$28:$G$40,1)+1)))</f>
        <v>6287265</v>
      </c>
      <c r="D39" s="27">
        <f t="shared" si="1"/>
        <v>6522451.5971602816</v>
      </c>
      <c r="E39" s="27">
        <f t="shared" si="2"/>
        <v>6865281.9016159968</v>
      </c>
      <c r="G39" s="6">
        <v>2060</v>
      </c>
      <c r="H39" s="27">
        <v>6265065</v>
      </c>
    </row>
    <row r="40" spans="2:8">
      <c r="B40" s="6">
        <v>2032</v>
      </c>
      <c r="C40" s="27" cm="1">
        <f t="array" ref="C40">_xlfn.IFS(B40&lt;=2025,VLOOKUP(B40,$G$28:$H$40,2), B40 = 2065,VLOOKUP(B40,$G$28:$H$40,2), B40&lt;2065, FORECAST(B40,INDEX($H$28:$H$40,MATCH(B40,$G$28:$G$40,1)):INDEX($H$28:$H$40,MATCH(B40,$G$28:$G$40,1)+1),INDEX($G$28:$G$40,MATCH(B40,$G$28:$G$40,1)):INDEX($G$28:$G$40,MATCH(B40,$G$28:$G$40,1)+1)))</f>
        <v>6312064</v>
      </c>
      <c r="D40" s="27">
        <f t="shared" si="1"/>
        <v>6602022.2292986996</v>
      </c>
      <c r="E40" s="27">
        <f t="shared" si="2"/>
        <v>6977458.0440682787</v>
      </c>
      <c r="G40" s="6">
        <v>2065</v>
      </c>
      <c r="H40" s="27">
        <v>6179154</v>
      </c>
    </row>
    <row r="41" spans="2:8">
      <c r="B41" s="6">
        <v>2033</v>
      </c>
      <c r="C41" s="27" cm="1">
        <f t="array" ref="C41">_xlfn.IFS(B41&lt;=2025,VLOOKUP(B41,$G$28:$H$40,2), B41 = 2065,VLOOKUP(B41,$G$28:$H$40,2), B41&lt;2065, FORECAST(B41,INDEX($H$28:$H$40,MATCH(B41,$G$28:$G$40,1)):INDEX($H$28:$H$40,MATCH(B41,$G$28:$G$40,1)+1),INDEX($G$28:$G$40,MATCH(B41,$G$28:$G$40,1)):INDEX($G$28:$G$40,MATCH(B41,$G$28:$G$40,1)+1)))</f>
        <v>6336863</v>
      </c>
      <c r="D41" s="27">
        <f t="shared" si="1"/>
        <v>6682197.5982413702</v>
      </c>
      <c r="E41" s="27">
        <f t="shared" si="2"/>
        <v>7090486.7252031984</v>
      </c>
    </row>
    <row r="42" spans="2:8">
      <c r="B42" s="6">
        <v>2034</v>
      </c>
      <c r="C42" s="27" cm="1">
        <f t="array" ref="C42">_xlfn.IFS(B42&lt;=2025,VLOOKUP(B42,$G$28:$H$40,2), B42 = 2065,VLOOKUP(B42,$G$28:$H$40,2), B42&lt;2065, FORECAST(B42,INDEX($H$28:$H$40,MATCH(B42,$G$28:$G$40,1)):INDEX($H$28:$H$40,MATCH(B42,$G$28:$G$40,1)+1),INDEX($G$28:$G$40,MATCH(B42,$G$28:$G$40,1)):INDEX($G$28:$G$40,MATCH(B42,$G$28:$G$40,1)+1)))</f>
        <v>6361662</v>
      </c>
      <c r="D42" s="27">
        <f t="shared" si="1"/>
        <v>6762982.2999880053</v>
      </c>
      <c r="E42" s="27">
        <f t="shared" si="2"/>
        <v>7204374.4243147429</v>
      </c>
    </row>
    <row r="43" spans="2:8">
      <c r="B43" s="6">
        <v>2035</v>
      </c>
      <c r="C43" s="27" cm="1">
        <f t="array" ref="C43">_xlfn.IFS(B43&lt;=2025,VLOOKUP(B43,$G$28:$H$40,2), B43 = 2065,VLOOKUP(B43,$G$28:$H$40,2), B43&lt;2065, FORECAST(B43,INDEX($H$28:$H$40,MATCH(B43,$G$28:$G$40,1)):INDEX($H$28:$H$40,MATCH(B43,$G$28:$G$40,1)+1),INDEX($G$28:$G$40,MATCH(B43,$G$28:$G$40,1)):INDEX($G$28:$G$40,MATCH(B43,$G$28:$G$40,1)+1)))</f>
        <v>6386461</v>
      </c>
      <c r="D43" s="27">
        <f t="shared" si="1"/>
        <v>6844380.9654679149</v>
      </c>
      <c r="E43" s="27">
        <f t="shared" si="2"/>
        <v>7319127.6699395357</v>
      </c>
    </row>
    <row r="44" spans="2:8">
      <c r="B44" s="6">
        <v>2036</v>
      </c>
      <c r="C44" s="27" cm="1">
        <f t="array" ref="C44">_xlfn.IFS(B44&lt;=2025,VLOOKUP(B44,$G$28:$H$40,2), B44 = 2065,VLOOKUP(B44,$G$28:$H$40,2), B44&lt;2065, FORECAST(B44,INDEX($H$28:$H$40,MATCH(B44,$G$28:$G$40,1)):INDEX($H$28:$H$40,MATCH(B44,$G$28:$G$40,1)+1),INDEX($G$28:$G$40,MATCH(B44,$G$28:$G$40,1)):INDEX($G$28:$G$40,MATCH(B44,$G$28:$G$40,1)+1)))</f>
        <v>6398268</v>
      </c>
      <c r="D44" s="27">
        <f t="shared" si="1"/>
        <v>6926398.2608054718</v>
      </c>
      <c r="E44" s="27">
        <f t="shared" si="2"/>
        <v>7434753.0402310761</v>
      </c>
    </row>
    <row r="45" spans="2:8">
      <c r="B45" s="6">
        <v>2037</v>
      </c>
      <c r="C45" s="27" cm="1">
        <f t="array" ref="C45">_xlfn.IFS(B45&lt;=2025,VLOOKUP(B45,$G$28:$H$40,2), B45 = 2065,VLOOKUP(B45,$G$28:$H$40,2), B45&lt;2065, FORECAST(B45,INDEX($H$28:$H$40,MATCH(B45,$G$28:$G$40,1)):INDEX($H$28:$H$40,MATCH(B45,$G$28:$G$40,1)+1),INDEX($G$28:$G$40,MATCH(B45,$G$28:$G$40,1)):INDEX($G$28:$G$40,MATCH(B45,$G$28:$G$40,1)+1)))</f>
        <v>6410075</v>
      </c>
      <c r="D45" s="27">
        <f t="shared" si="1"/>
        <v>7009038.8875875939</v>
      </c>
      <c r="E45" s="27">
        <f t="shared" si="2"/>
        <v>7551257.163336833</v>
      </c>
    </row>
    <row r="46" spans="2:8">
      <c r="B46" s="6">
        <v>2038</v>
      </c>
      <c r="C46" s="27" cm="1">
        <f t="array" ref="C46">_xlfn.IFS(B46&lt;=2025,VLOOKUP(B46,$G$28:$H$40,2), B46 = 2065,VLOOKUP(B46,$G$28:$H$40,2), B46&lt;2065, FORECAST(B46,INDEX($H$28:$H$40,MATCH(B46,$G$28:$G$40,1)):INDEX($H$28:$H$40,MATCH(B46,$G$28:$G$40,1)+1),INDEX($G$28:$G$40,MATCH(B46,$G$28:$G$40,1)):INDEX($G$28:$G$40,MATCH(B46,$G$28:$G$40,1)+1)))</f>
        <v>6421882</v>
      </c>
      <c r="D46" s="27">
        <f t="shared" si="1"/>
        <v>7092307.5831332598</v>
      </c>
      <c r="E46" s="27">
        <f t="shared" si="2"/>
        <v>7668646.7177781938</v>
      </c>
    </row>
    <row r="47" spans="2:8">
      <c r="B47" s="6">
        <v>2039</v>
      </c>
      <c r="C47" s="27" cm="1">
        <f t="array" ref="C47">_xlfn.IFS(B47&lt;=2025,VLOOKUP(B47,$G$28:$H$40,2), B47 = 2065,VLOOKUP(B47,$G$28:$H$40,2), B47&lt;2065, FORECAST(B47,INDEX($H$28:$H$40,MATCH(B47,$G$28:$G$40,1)):INDEX($H$28:$H$40,MATCH(B47,$G$28:$G$40,1)+1),INDEX($G$28:$G$40,MATCH(B47,$G$28:$G$40,1)):INDEX($G$28:$G$40,MATCH(B47,$G$28:$G$40,1)+1)))</f>
        <v>6433689</v>
      </c>
      <c r="D47" s="27">
        <f t="shared" si="1"/>
        <v>7176209.1207650732</v>
      </c>
      <c r="E47" s="27">
        <f t="shared" si="2"/>
        <v>7786928.4328333084</v>
      </c>
    </row>
    <row r="48" spans="2:8">
      <c r="B48" s="6">
        <v>2040</v>
      </c>
      <c r="C48" s="27" cm="1">
        <f t="array" ref="C48">_xlfn.IFS(B48&lt;=2025,VLOOKUP(B48,$G$28:$H$40,2), B48 = 2065,VLOOKUP(B48,$G$28:$H$40,2), B48&lt;2065, FORECAST(B48,INDEX($H$28:$H$40,MATCH(B48,$G$28:$G$40,1)):INDEX($H$28:$H$40,MATCH(B48,$G$28:$G$40,1)+1),INDEX($G$28:$G$40,MATCH(B48,$G$28:$G$40,1)):INDEX($G$28:$G$40,MATCH(B48,$G$28:$G$40,1)+1)))</f>
        <v>6445496</v>
      </c>
      <c r="D48" s="27">
        <f t="shared" si="1"/>
        <v>7260748.3100828882</v>
      </c>
      <c r="E48" s="27">
        <f t="shared" si="2"/>
        <v>7906109.0889228415</v>
      </c>
    </row>
    <row r="49" spans="2:5">
      <c r="B49" s="6">
        <v>2041</v>
      </c>
      <c r="C49" s="27" cm="1">
        <f t="array" ref="C49">_xlfn.IFS(B49&lt;=2025,VLOOKUP(B49,$G$28:$H$40,2), B49 = 2065,VLOOKUP(B49,$G$28:$H$40,2), B49&lt;2065, FORECAST(B49,INDEX($H$28:$H$40,MATCH(B49,$G$28:$G$40,1)):INDEX($H$28:$H$40,MATCH(B49,$G$28:$G$40,1)+1),INDEX($G$28:$G$40,MATCH(B49,$G$28:$G$40,1)):INDEX($G$28:$G$40,MATCH(B49,$G$28:$G$40,1)+1)))</f>
        <v>6445832.5999999996</v>
      </c>
      <c r="D49" s="27">
        <f t="shared" si="1"/>
        <v>7345929.9972395189</v>
      </c>
      <c r="E49" s="27">
        <f t="shared" si="2"/>
        <v>8026195.5179986553</v>
      </c>
    </row>
    <row r="50" spans="2:5">
      <c r="B50" s="6">
        <v>2042</v>
      </c>
      <c r="C50" s="27" cm="1">
        <f t="array" ref="C50">_xlfn.IFS(B50&lt;=2025,VLOOKUP(B50,$G$28:$H$40,2), B50 = 2065,VLOOKUP(B50,$G$28:$H$40,2), B50&lt;2065, FORECAST(B50,INDEX($H$28:$H$40,MATCH(B50,$G$28:$G$40,1)):INDEX($H$28:$H$40,MATCH(B50,$G$28:$G$40,1)+1),INDEX($G$28:$G$40,MATCH(B50,$G$28:$G$40,1)):INDEX($G$28:$G$40,MATCH(B50,$G$28:$G$40,1)+1)))</f>
        <v>6446169.2000000002</v>
      </c>
      <c r="D50" s="27">
        <f t="shared" si="1"/>
        <v>7431759.0652185399</v>
      </c>
      <c r="E50" s="27">
        <f t="shared" si="2"/>
        <v>8147194.6039354457</v>
      </c>
    </row>
    <row r="51" spans="2:5">
      <c r="B51" s="6">
        <v>2043</v>
      </c>
      <c r="C51" s="27" cm="1">
        <f t="array" ref="C51">_xlfn.IFS(B51&lt;=2025,VLOOKUP(B51,$G$28:$H$40,2), B51 = 2065,VLOOKUP(B51,$G$28:$H$40,2), B51&lt;2065, FORECAST(B51,INDEX($H$28:$H$40,MATCH(B51,$G$28:$G$40,1)):INDEX($H$28:$H$40,MATCH(B51,$G$28:$G$40,1)+1),INDEX($G$28:$G$40,MATCH(B51,$G$28:$G$40,1)):INDEX($G$28:$G$40,MATCH(B51,$G$28:$G$40,1)+1)))</f>
        <v>6446505.7999999998</v>
      </c>
      <c r="D51" s="27">
        <f t="shared" si="1"/>
        <v>7518240.434114201</v>
      </c>
      <c r="E51" s="27">
        <f t="shared" si="2"/>
        <v>8269113.2829253552</v>
      </c>
    </row>
    <row r="52" spans="2:5">
      <c r="B52" s="6">
        <v>2044</v>
      </c>
      <c r="C52" s="27" cm="1">
        <f t="array" ref="C52">_xlfn.IFS(B52&lt;=2025,VLOOKUP(B52,$G$28:$H$40,2), B52 = 2065,VLOOKUP(B52,$G$28:$H$40,2), B52&lt;2065, FORECAST(B52,INDEX($H$28:$H$40,MATCH(B52,$G$28:$G$40,1)):INDEX($H$28:$H$40,MATCH(B52,$G$28:$G$40,1)+1),INDEX($G$28:$G$40,MATCH(B52,$G$28:$G$40,1)):INDEX($G$28:$G$40,MATCH(B52,$G$28:$G$40,1)+1)))</f>
        <v>6446842.4000000004</v>
      </c>
      <c r="D52" s="27">
        <f t="shared" si="1"/>
        <v>7605379.0614134697</v>
      </c>
      <c r="E52" s="27">
        <f t="shared" si="2"/>
        <v>8391958.5438755881</v>
      </c>
    </row>
    <row r="53" spans="2:5">
      <c r="B53" s="6">
        <v>2045</v>
      </c>
      <c r="C53" s="27" cm="1">
        <f t="array" ref="C53">_xlfn.IFS(B53&lt;=2025,VLOOKUP(B53,$G$28:$H$40,2), B53 = 2065,VLOOKUP(B53,$G$28:$H$40,2), B53&lt;2065, FORECAST(B53,INDEX($H$28:$H$40,MATCH(B53,$G$28:$G$40,1)):INDEX($H$28:$H$40,MATCH(B53,$G$28:$G$40,1)+1),INDEX($G$28:$G$40,MATCH(B53,$G$28:$G$40,1)):INDEX($G$28:$G$40,MATCH(B53,$G$28:$G$40,1)+1)))</f>
        <v>6447179</v>
      </c>
      <c r="D53" s="27">
        <f t="shared" si="1"/>
        <v>7693179.9422802124</v>
      </c>
      <c r="E53" s="27">
        <f t="shared" si="2"/>
        <v>8515737.428809043</v>
      </c>
    </row>
    <row r="54" spans="2:5">
      <c r="B54" s="6">
        <v>2046</v>
      </c>
      <c r="C54" s="27" cm="1">
        <f t="array" ref="C54">_xlfn.IFS(B54&lt;=2025,VLOOKUP(B54,$G$28:$H$40,2), B54 = 2065,VLOOKUP(B54,$G$28:$H$40,2), B54&lt;2065, FORECAST(B54,INDEX($H$28:$H$40,MATCH(B54,$G$28:$G$40,1)):INDEX($H$28:$H$40,MATCH(B54,$G$28:$G$40,1)+1),INDEX($G$28:$G$40,MATCH(B54,$G$28:$G$40,1)):INDEX($G$28:$G$40,MATCH(B54,$G$28:$G$40,1)+1)))</f>
        <v>6439249.6000000015</v>
      </c>
      <c r="D54" s="27">
        <f t="shared" si="1"/>
        <v>7781648.1098415423</v>
      </c>
      <c r="E54" s="27">
        <f t="shared" si="2"/>
        <v>8640457.0332679916</v>
      </c>
    </row>
    <row r="55" spans="2:5">
      <c r="B55" s="6">
        <v>2047</v>
      </c>
      <c r="C55" s="27" cm="1">
        <f t="array" ref="C55">_xlfn.IFS(B55&lt;=2025,VLOOKUP(B55,$G$28:$H$40,2), B55 = 2065,VLOOKUP(B55,$G$28:$H$40,2), B55&lt;2065, FORECAST(B55,INDEX($H$28:$H$40,MATCH(B55,$G$28:$G$40,1)):INDEX($H$28:$H$40,MATCH(B55,$G$28:$G$40,1)+1),INDEX($G$28:$G$40,MATCH(B55,$G$28:$G$40,1)):INDEX($G$28:$G$40,MATCH(B55,$G$28:$G$40,1)+1)))</f>
        <v>6431320.2000000011</v>
      </c>
      <c r="D55" s="27">
        <f t="shared" si="1"/>
        <v>7870788.6354763387</v>
      </c>
      <c r="E55" s="27">
        <f t="shared" si="2"/>
        <v>8766124.5067208279</v>
      </c>
    </row>
    <row r="56" spans="2:5">
      <c r="B56" s="6">
        <v>2048</v>
      </c>
      <c r="C56" s="27" cm="1">
        <f t="array" ref="C56">_xlfn.IFS(B56&lt;=2025,VLOOKUP(B56,$G$28:$H$40,2), B56 = 2065,VLOOKUP(B56,$G$28:$H$40,2), B56&lt;2065, FORECAST(B56,INDEX($H$28:$H$40,MATCH(B56,$G$28:$G$40,1)):INDEX($H$28:$H$40,MATCH(B56,$G$28:$G$40,1)+1),INDEX($G$28:$G$40,MATCH(B56,$G$28:$G$40,1)):INDEX($G$28:$G$40,MATCH(B56,$G$28:$G$40,1)+1)))</f>
        <v>6423390.8000000007</v>
      </c>
      <c r="D56" s="27">
        <f t="shared" si="1"/>
        <v>7960606.6291059591</v>
      </c>
      <c r="E56" s="27">
        <f t="shared" si="2"/>
        <v>8892747.052971907</v>
      </c>
    </row>
    <row r="57" spans="2:5">
      <c r="B57" s="6">
        <v>2049</v>
      </c>
      <c r="C57" s="27" cm="1">
        <f t="array" ref="C57">_xlfn.IFS(B57&lt;=2025,VLOOKUP(B57,$G$28:$H$40,2), B57 = 2065,VLOOKUP(B57,$G$28:$H$40,2), B57&lt;2065, FORECAST(B57,INDEX($H$28:$H$40,MATCH(B57,$G$28:$G$40,1)):INDEX($H$28:$H$40,MATCH(B57,$G$28:$G$40,1)+1),INDEX($G$28:$G$40,MATCH(B57,$G$28:$G$40,1)):INDEX($G$28:$G$40,MATCH(B57,$G$28:$G$40,1)+1)))</f>
        <v>6415461.4000000004</v>
      </c>
      <c r="D57" s="27">
        <f t="shared" si="1"/>
        <v>8051107.2394871647</v>
      </c>
      <c r="E57" s="27">
        <f t="shared" si="2"/>
        <v>9020331.9305744935</v>
      </c>
    </row>
    <row r="58" spans="2:5">
      <c r="B58" s="6">
        <v>2050</v>
      </c>
      <c r="C58" s="27" cm="1">
        <f t="array" ref="C58">_xlfn.IFS(B58&lt;=2025,VLOOKUP(B58,$G$28:$H$40,2), B58 = 2065,VLOOKUP(B58,$G$28:$H$40,2), B58&lt;2065, FORECAST(B58,INDEX($H$28:$H$40,MATCH(B58,$G$28:$G$40,1)):INDEX($H$28:$H$40,MATCH(B58,$G$28:$G$40,1)+1),INDEX($G$28:$G$40,MATCH(B58,$G$28:$G$40,1)):INDEX($G$28:$G$40,MATCH(B58,$G$28:$G$40,1)+1)))</f>
        <v>6407532</v>
      </c>
      <c r="D58" s="27">
        <f t="shared" si="1"/>
        <v>8142295.6545072673</v>
      </c>
      <c r="E58" s="27">
        <f t="shared" si="2"/>
        <v>9148886.4532468598</v>
      </c>
    </row>
    <row r="59" spans="2:5">
      <c r="B59" s="6">
        <v>2051</v>
      </c>
      <c r="C59" s="27" cm="1">
        <f t="array" ref="C59">_xlfn.IFS(B59&lt;=2025,VLOOKUP(B59,$G$28:$H$40,2), B59 = 2065,VLOOKUP(B59,$G$28:$H$40,2), B59&lt;2065, FORECAST(B59,INDEX($H$28:$H$40,MATCH(B59,$G$28:$G$40,1)):INDEX($H$28:$H$40,MATCH(B59,$G$28:$G$40,1)+1),INDEX($G$28:$G$40,MATCH(B59,$G$28:$G$40,1)):INDEX($G$28:$G$40,MATCH(B59,$G$28:$G$40,1)+1)))</f>
        <v>6394591.799999997</v>
      </c>
      <c r="D59" s="27">
        <f t="shared" si="1"/>
        <v>8234177.1014815234</v>
      </c>
      <c r="E59" s="27">
        <f t="shared" si="2"/>
        <v>9278417.9902915359</v>
      </c>
    </row>
    <row r="60" spans="2:5">
      <c r="B60" s="6">
        <v>2052</v>
      </c>
      <c r="C60" s="27" cm="1">
        <f t="array" ref="C60">_xlfn.IFS(B60&lt;=2025,VLOOKUP(B60,$G$28:$H$40,2), B60 = 2065,VLOOKUP(B60,$G$28:$H$40,2), B60&lt;2065, FORECAST(B60,INDEX($H$28:$H$40,MATCH(B60,$G$28:$G$40,1)):INDEX($H$28:$H$40,MATCH(B60,$G$28:$G$40,1)+1),INDEX($G$28:$G$40,MATCH(B60,$G$28:$G$40,1)):INDEX($G$28:$G$40,MATCH(B60,$G$28:$G$40,1)+1)))</f>
        <v>6381651.5999999978</v>
      </c>
      <c r="D60" s="27">
        <f t="shared" si="1"/>
        <v>8326756.847452783</v>
      </c>
      <c r="E60" s="27">
        <f t="shared" si="2"/>
        <v>9408933.9670177512</v>
      </c>
    </row>
    <row r="61" spans="2:5">
      <c r="B61" s="6">
        <v>2053</v>
      </c>
      <c r="C61" s="27" cm="1">
        <f t="array" ref="C61">_xlfn.IFS(B61&lt;=2025,VLOOKUP(B61,$G$28:$H$40,2), B61 = 2065,VLOOKUP(B61,$G$28:$H$40,2), B61&lt;2065, FORECAST(B61,INDEX($H$28:$H$40,MATCH(B61,$G$28:$G$40,1)):INDEX($H$28:$H$40,MATCH(B61,$G$28:$G$40,1)+1),INDEX($G$28:$G$40,MATCH(B61,$G$28:$G$40,1)):INDEX($G$28:$G$40,MATCH(B61,$G$28:$G$40,1)+1)))</f>
        <v>6368711.3999999985</v>
      </c>
      <c r="D61" s="27">
        <f t="shared" si="1"/>
        <v>8420040.199493425</v>
      </c>
      <c r="E61" s="27">
        <f t="shared" si="2"/>
        <v>9540441.8651670869</v>
      </c>
    </row>
    <row r="62" spans="2:5">
      <c r="B62" s="6">
        <v>2054</v>
      </c>
      <c r="C62" s="27" cm="1">
        <f t="array" ref="C62">_xlfn.IFS(B62&lt;=2025,VLOOKUP(B62,$G$28:$H$40,2), B62 = 2065,VLOOKUP(B62,$G$28:$H$40,2), B62&lt;2065, FORECAST(B62,INDEX($H$28:$H$40,MATCH(B62,$G$28:$G$40,1)):INDEX($H$28:$H$40,MATCH(B62,$G$28:$G$40,1)+1),INDEX($G$28:$G$40,MATCH(B62,$G$28:$G$40,1)):INDEX($G$28:$G$40,MATCH(B62,$G$28:$G$40,1)+1)))</f>
        <v>6355771.1999999993</v>
      </c>
      <c r="D62" s="27">
        <f t="shared" si="1"/>
        <v>8514032.5050095748</v>
      </c>
      <c r="E62" s="27">
        <f t="shared" si="2"/>
        <v>9672949.2233423572</v>
      </c>
    </row>
    <row r="63" spans="2:5">
      <c r="B63" s="6">
        <v>2055</v>
      </c>
      <c r="C63" s="27" cm="1">
        <f t="array" ref="C63">_xlfn.IFS(B63&lt;=2025,VLOOKUP(B63,$G$28:$H$40,2), B63 = 2065,VLOOKUP(B63,$G$28:$H$40,2), B63&lt;2065, FORECAST(B63,INDEX($H$28:$H$40,MATCH(B63,$G$28:$G$40,1)):INDEX($H$28:$H$40,MATCH(B63,$G$28:$G$40,1)+1),INDEX($G$28:$G$40,MATCH(B63,$G$28:$G$40,1)):INDEX($G$28:$G$40,MATCH(B63,$G$28:$G$40,1)+1)))</f>
        <v>6342831</v>
      </c>
      <c r="D63" s="27">
        <f t="shared" si="1"/>
        <v>8608739.1520476472</v>
      </c>
      <c r="E63" s="27">
        <f t="shared" si="2"/>
        <v>9806463.6374397594</v>
      </c>
    </row>
    <row r="64" spans="2:5">
      <c r="B64" s="6">
        <v>2056</v>
      </c>
      <c r="C64" s="27" cm="1">
        <f t="array" ref="C64">_xlfn.IFS(B64&lt;=2025,VLOOKUP(B64,$G$28:$H$40,2), B64 = 2065,VLOOKUP(B64,$G$28:$H$40,2), B64&lt;2065, FORECAST(B64,INDEX($H$28:$H$40,MATCH(B64,$G$28:$G$40,1)):INDEX($H$28:$H$40,MATCH(B64,$G$28:$G$40,1)+1),INDEX($G$28:$G$40,MATCH(B64,$G$28:$G$40,1)):INDEX($G$28:$G$40,MATCH(B64,$G$28:$G$40,1)+1)))</f>
        <v>6327277.799999997</v>
      </c>
      <c r="D64" s="27">
        <f t="shared" si="1"/>
        <v>8704165.5696032103</v>
      </c>
      <c r="E64" s="27">
        <f t="shared" si="2"/>
        <v>9940992.7610843014</v>
      </c>
    </row>
    <row r="65" spans="2:5">
      <c r="B65" s="6">
        <v>2057</v>
      </c>
      <c r="C65" s="27" cm="1">
        <f t="array" ref="C65">_xlfn.IFS(B65&lt;=2025,VLOOKUP(B65,$G$28:$H$40,2), B65 = 2065,VLOOKUP(B65,$G$28:$H$40,2), B65&lt;2065, FORECAST(B65,INDEX($H$28:$H$40,MATCH(B65,$G$28:$G$40,1)):INDEX($H$28:$H$40,MATCH(B65,$G$28:$G$40,1)+1),INDEX($G$28:$G$40,MATCH(B65,$G$28:$G$40,1)):INDEX($G$28:$G$40,MATCH(B65,$G$28:$G$40,1)+1)))</f>
        <v>6311724.5999999978</v>
      </c>
      <c r="D65" s="27">
        <f t="shared" si="1"/>
        <v>8800317.2279321942</v>
      </c>
      <c r="E65" s="27">
        <f t="shared" si="2"/>
        <v>10076544.306068543</v>
      </c>
    </row>
    <row r="66" spans="2:5">
      <c r="B66" s="6">
        <v>2058</v>
      </c>
      <c r="C66" s="27" cm="1">
        <f t="array" ref="C66">_xlfn.IFS(B66&lt;=2025,VLOOKUP(B66,$G$28:$H$40,2), B66 = 2065,VLOOKUP(B66,$G$28:$H$40,2), B66&lt;2065, FORECAST(B66,INDEX($H$28:$H$40,MATCH(B66,$G$28:$G$40,1)):INDEX($H$28:$H$40,MATCH(B66,$G$28:$G$40,1)+1),INDEX($G$28:$G$40,MATCH(B66,$G$28:$G$40,1)):INDEX($G$28:$G$40,MATCH(B66,$G$28:$G$40,1)+1)))</f>
        <v>6296171.3999999985</v>
      </c>
      <c r="D66" s="27">
        <f t="shared" si="1"/>
        <v>8897199.63886448</v>
      </c>
      <c r="E66" s="27">
        <f t="shared" si="2"/>
        <v>10213126.042794665</v>
      </c>
    </row>
    <row r="67" spans="2:5">
      <c r="B67" s="6">
        <v>2059</v>
      </c>
      <c r="C67" s="27" cm="1">
        <f t="array" ref="C67">_xlfn.IFS(B67&lt;=2025,VLOOKUP(B67,$G$28:$H$40,2), B67 = 2065,VLOOKUP(B67,$G$28:$H$40,2), B67&lt;2065, FORECAST(B67,INDEX($H$28:$H$40,MATCH(B67,$G$28:$G$40,1)):INDEX($H$28:$H$40,MATCH(B67,$G$28:$G$40,1)+1),INDEX($G$28:$G$40,MATCH(B67,$G$28:$G$40,1)):INDEX($G$28:$G$40,MATCH(B67,$G$28:$G$40,1)+1)))</f>
        <v>6280618.1999999993</v>
      </c>
      <c r="D67" s="27">
        <f t="shared" si="1"/>
        <v>8994818.3561198507</v>
      </c>
      <c r="E67" s="27">
        <f t="shared" si="2"/>
        <v>10350745.800719906</v>
      </c>
    </row>
    <row r="68" spans="2:5">
      <c r="B68" s="6">
        <v>2060</v>
      </c>
      <c r="C68" s="27" cm="1">
        <f t="array" ref="C68">_xlfn.IFS(B68&lt;=2025,VLOOKUP(B68,$G$28:$H$40,2), B68 = 2065,VLOOKUP(B68,$G$28:$H$40,2), B68&lt;2065, FORECAST(B68,INDEX($H$28:$H$40,MATCH(B68,$G$28:$G$40,1)):INDEX($H$28:$H$40,MATCH(B68,$G$28:$G$40,1)+1),INDEX($G$28:$G$40,MATCH(B68,$G$28:$G$40,1)):INDEX($G$28:$G$40,MATCH(B68,$G$28:$G$40,1)+1)))</f>
        <v>6265065</v>
      </c>
      <c r="D68" s="27">
        <f>IF($B68=2021, D$23*(1+D$5-D$7)+D$6, D67*(1+D$5-D$7)+D$6)</f>
        <v>9093178.9756263625</v>
      </c>
      <c r="E68" s="27">
        <f t="shared" si="2"/>
        <v>10489411.468805378</v>
      </c>
    </row>
    <row r="69" spans="2:5">
      <c r="B69" s="6">
        <v>2061</v>
      </c>
      <c r="C69" s="27" cm="1">
        <f t="array" ref="C69">_xlfn.IFS(B69&lt;=2025,VLOOKUP(B69,$G$28:$H$40,2), B69 = 2065,VLOOKUP(B69,$G$28:$H$40,2), B69&lt;2065, FORECAST(B69,INDEX($H$28:$H$40,MATCH(B69,$G$28:$G$40,1)):INDEX($H$28:$H$40,MATCH(B69,$G$28:$G$40,1)+1),INDEX($G$28:$G$40,MATCH(B69,$G$28:$G$40,1)):INDEX($G$28:$G$40,MATCH(B69,$G$28:$G$40,1)+1)))</f>
        <v>6247882.799999997</v>
      </c>
      <c r="D69" s="27">
        <f t="shared" ref="D69:D73" si="3">IF($B69=2021, D$23*(1+D$5-D$7)+D$6, D68*(1+D$5-D$7)+D$6)</f>
        <v>9192287.1358411238</v>
      </c>
      <c r="E69" s="27">
        <f t="shared" si="2"/>
        <v>10629130.995968299</v>
      </c>
    </row>
    <row r="70" spans="2:5">
      <c r="B70" s="6">
        <v>2062</v>
      </c>
      <c r="C70" s="27" cm="1">
        <f t="array" ref="C70">_xlfn.IFS(B70&lt;=2025,VLOOKUP(B70,$G$28:$H$40,2), B70 = 2065,VLOOKUP(B70,$G$28:$H$40,2), B70&lt;2065, FORECAST(B70,INDEX($H$28:$H$40,MATCH(B70,$G$28:$G$40,1)):INDEX($H$28:$H$40,MATCH(B70,$G$28:$G$40,1)+1),INDEX($G$28:$G$40,MATCH(B70,$G$28:$G$40,1)):INDEX($G$28:$G$40,MATCH(B70,$G$28:$G$40,1)+1)))</f>
        <v>6230700.6000000015</v>
      </c>
      <c r="D70" s="27">
        <f t="shared" si="3"/>
        <v>9292148.518073516</v>
      </c>
      <c r="E70" s="27">
        <f t="shared" si="2"/>
        <v>10769912.391537659</v>
      </c>
    </row>
    <row r="71" spans="2:5">
      <c r="B71" s="6">
        <v>2063</v>
      </c>
      <c r="C71" s="27" cm="1">
        <f t="array" ref="C71">_xlfn.IFS(B71&lt;=2025,VLOOKUP(B71,$G$28:$H$40,2), B71 = 2065,VLOOKUP(B71,$G$28:$H$40,2), B71&lt;2065, FORECAST(B71,INDEX($H$28:$H$40,MATCH(B71,$G$28:$G$40,1)):INDEX($H$28:$H$40,MATCH(B71,$G$28:$G$40,1)+1),INDEX($G$28:$G$40,MATCH(B71,$G$28:$G$40,1)):INDEX($G$28:$G$40,MATCH(B71,$G$28:$G$40,1)+1)))</f>
        <v>6213518.3999999985</v>
      </c>
      <c r="D71" s="27">
        <f t="shared" si="3"/>
        <v>9392768.8468108755</v>
      </c>
      <c r="E71" s="27">
        <f t="shared" si="2"/>
        <v>10911763.725713346</v>
      </c>
    </row>
    <row r="72" spans="2:5">
      <c r="B72" s="6">
        <v>2064</v>
      </c>
      <c r="C72" s="27" cm="1">
        <f t="array" ref="C72">_xlfn.IFS(B72&lt;=2025,VLOOKUP(B72,$G$28:$H$40,2), B72 = 2065,VLOOKUP(B72,$G$28:$H$40,2), B72&lt;2065, FORECAST(B72,INDEX($H$28:$H$40,MATCH(B72,$G$28:$G$40,1)):INDEX($H$28:$H$40,MATCH(B72,$G$28:$G$40,1)+1),INDEX($G$28:$G$40,MATCH(B72,$G$28:$G$40,1)):INDEX($G$28:$G$40,MATCH(B72,$G$28:$G$40,1)+1)))</f>
        <v>6196336.1999999955</v>
      </c>
      <c r="D72" s="27">
        <f t="shared" si="3"/>
        <v>9494153.8900466394</v>
      </c>
      <c r="E72" s="27">
        <f t="shared" si="2"/>
        <v>11054693.130028768</v>
      </c>
    </row>
    <row r="73" spans="2:5">
      <c r="B73" s="6">
        <v>2065</v>
      </c>
      <c r="C73" s="27" cm="1">
        <f t="array" ref="C73">_xlfn.IFS(B73&lt;=2025,VLOOKUP(B73,$G$28:$H$40,2), B73 = 2065,VLOOKUP(B73,$G$28:$H$40,2), B73&lt;2065, FORECAST(B73,INDEX($H$28:$H$40,MATCH(B73,$G$28:$G$40,1)):INDEX($H$28:$H$40,MATCH(B73,$G$28:$G$40,1)+1),INDEX($G$28:$G$40,MATCH(B73,$G$28:$G$40,1)):INDEX($G$28:$G$40,MATCH(B73,$G$28:$G$40,1)+1)))</f>
        <v>6179154</v>
      </c>
      <c r="D73" s="27">
        <f t="shared" si="3"/>
        <v>9596309.4596109949</v>
      </c>
      <c r="E73" s="27">
        <f t="shared" si="2"/>
        <v>11198708.797816986</v>
      </c>
    </row>
  </sheetData>
  <sheetProtection sheet="1" objects="1" scenarios="1"/>
  <mergeCells count="3">
    <mergeCell ref="C5:C7"/>
    <mergeCell ref="C11:E11"/>
    <mergeCell ref="C27:E2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20A9-6F45-43A8-BB5F-F2CF5E9457E2}">
  <sheetPr codeName="Sheet8">
    <tabColor theme="5" tint="-0.249977111117893"/>
  </sheetPr>
  <dimension ref="B1:V132"/>
  <sheetViews>
    <sheetView showGridLines="0" topLeftCell="A4" zoomScaleNormal="100" workbookViewId="0">
      <selection activeCell="I35" sqref="I35:J35"/>
    </sheetView>
  </sheetViews>
  <sheetFormatPr defaultRowHeight="13.8"/>
  <cols>
    <col min="1" max="1" width="2.59765625" customWidth="1"/>
    <col min="2" max="2" width="26.8984375" customWidth="1"/>
    <col min="3" max="8" width="18.69921875" customWidth="1"/>
    <col min="9" max="9" width="5" customWidth="1"/>
    <col min="10" max="11" width="21.19921875" customWidth="1"/>
    <col min="12" max="12" width="5" customWidth="1"/>
    <col min="13" max="14" width="21.19921875" customWidth="1"/>
    <col min="15" max="15" width="5" customWidth="1"/>
    <col min="16" max="16" width="2.69921875" customWidth="1"/>
    <col min="17" max="18" width="28.69921875" customWidth="1"/>
    <col min="19" max="19" width="15.69921875" customWidth="1"/>
    <col min="20" max="23" width="28.19921875" customWidth="1"/>
    <col min="24" max="25" width="24.69921875" customWidth="1"/>
  </cols>
  <sheetData>
    <row r="1" spans="2:8" ht="21">
      <c r="B1" s="8" t="s">
        <v>38</v>
      </c>
      <c r="C1" s="8"/>
      <c r="D1" s="8"/>
      <c r="E1" s="8"/>
      <c r="F1" s="8"/>
      <c r="G1" s="8"/>
      <c r="H1" s="8"/>
    </row>
    <row r="3" spans="2:8" ht="14.4">
      <c r="B3" s="44" t="s">
        <v>31</v>
      </c>
    </row>
    <row r="4" spans="2:8">
      <c r="C4" s="14" t="s">
        <v>32</v>
      </c>
      <c r="D4" s="14"/>
    </row>
    <row r="5" spans="2:8">
      <c r="B5" s="88" t="s">
        <v>65</v>
      </c>
      <c r="C5" s="6" t="str">
        <f>Main!$D$7</f>
        <v>Medium</v>
      </c>
      <c r="D5" s="7"/>
    </row>
    <row r="6" spans="2:8" ht="14.4">
      <c r="B6" s="88" t="s">
        <v>33</v>
      </c>
      <c r="C6" s="19">
        <v>365</v>
      </c>
      <c r="D6" s="10"/>
    </row>
    <row r="7" spans="2:8" ht="14.4">
      <c r="B7" s="10"/>
      <c r="C7" s="10"/>
      <c r="D7" s="7"/>
    </row>
    <row r="8" spans="2:8" ht="14.4">
      <c r="B8" s="44" t="s">
        <v>12</v>
      </c>
      <c r="D8" s="7"/>
    </row>
    <row r="9" spans="2:8">
      <c r="C9" s="14" t="s">
        <v>13</v>
      </c>
      <c r="D9" s="7"/>
    </row>
    <row r="10" spans="2:8">
      <c r="B10" s="88" t="s">
        <v>34</v>
      </c>
      <c r="C10" s="53">
        <f>Main!$D$10</f>
        <v>1.3E-7</v>
      </c>
      <c r="D10" s="7"/>
    </row>
    <row r="11" spans="2:8">
      <c r="B11" s="88" t="s">
        <v>35</v>
      </c>
      <c r="C11" s="53">
        <f>Main!$D$11</f>
        <v>1.1999999999999999E-7</v>
      </c>
      <c r="D11" s="7"/>
    </row>
    <row r="12" spans="2:8" ht="14.4">
      <c r="B12" s="10"/>
      <c r="C12" s="10"/>
      <c r="D12" s="7"/>
    </row>
    <row r="13" spans="2:8" ht="14.4">
      <c r="B13" s="44" t="s">
        <v>16</v>
      </c>
      <c r="D13" s="7"/>
    </row>
    <row r="14" spans="2:8">
      <c r="D14" s="7"/>
    </row>
    <row r="15" spans="2:8">
      <c r="B15" s="88" t="s">
        <v>18</v>
      </c>
      <c r="C15" s="50">
        <f>Main!$D$14</f>
        <v>2040</v>
      </c>
      <c r="D15" s="7"/>
    </row>
    <row r="16" spans="2:8" ht="15" customHeight="1">
      <c r="B16" s="88" t="s">
        <v>19</v>
      </c>
      <c r="C16" s="51">
        <f>Main!$D$15</f>
        <v>0.03</v>
      </c>
      <c r="D16" s="7"/>
    </row>
    <row r="17" spans="2:13" ht="15" customHeight="1">
      <c r="B17" s="88" t="s">
        <v>235</v>
      </c>
      <c r="C17" s="55">
        <f>Main!$D$16</f>
        <v>0.4</v>
      </c>
      <c r="D17" s="7"/>
    </row>
    <row r="18" spans="2:13" ht="14.25" customHeight="1">
      <c r="B18" s="10"/>
      <c r="C18" s="10"/>
      <c r="D18" s="7"/>
    </row>
    <row r="19" spans="2:13" ht="14.25" customHeight="1">
      <c r="B19" s="10"/>
      <c r="C19" s="10"/>
      <c r="D19" s="7"/>
    </row>
    <row r="20" spans="2:13" ht="14.25" customHeight="1">
      <c r="B20" s="10" t="s">
        <v>75</v>
      </c>
    </row>
    <row r="21" spans="2:13" ht="14.25" customHeight="1">
      <c r="D21" s="14" t="s">
        <v>67</v>
      </c>
      <c r="E21" s="14" t="s">
        <v>67</v>
      </c>
      <c r="F21" s="14" t="s">
        <v>67</v>
      </c>
      <c r="G21" s="14" t="s">
        <v>67</v>
      </c>
      <c r="H21" s="14" t="s">
        <v>67</v>
      </c>
    </row>
    <row r="22" spans="2:13">
      <c r="B22" s="174" t="s">
        <v>25</v>
      </c>
      <c r="C22" s="173" t="s">
        <v>4</v>
      </c>
      <c r="D22" s="182" t="s">
        <v>68</v>
      </c>
      <c r="E22" s="183"/>
      <c r="F22" s="182" t="s">
        <v>69</v>
      </c>
      <c r="G22" s="183"/>
      <c r="H22" s="173" t="s">
        <v>55</v>
      </c>
      <c r="I22" s="175" t="s">
        <v>76</v>
      </c>
      <c r="J22" s="175"/>
      <c r="K22" s="175" t="s">
        <v>77</v>
      </c>
      <c r="L22" s="175"/>
    </row>
    <row r="23" spans="2:13">
      <c r="B23" s="174"/>
      <c r="C23" s="173" t="s">
        <v>4</v>
      </c>
      <c r="D23" s="17" t="s">
        <v>70</v>
      </c>
      <c r="E23" s="17" t="s">
        <v>71</v>
      </c>
      <c r="F23" s="17" t="s">
        <v>70</v>
      </c>
      <c r="G23" s="17" t="s">
        <v>71</v>
      </c>
      <c r="H23" s="173"/>
      <c r="I23" s="175"/>
      <c r="J23" s="175"/>
      <c r="K23" s="175"/>
      <c r="L23" s="175"/>
    </row>
    <row r="24" spans="2:13">
      <c r="B24" s="6">
        <v>2010</v>
      </c>
      <c r="C24" s="20" cm="1">
        <f t="array" ref="C24">_xlfn.IFS($C$5="Low",'Pop FCST'!$C13,$C$5="Medium",'Pop FCST'!$D13,$C$5="High",'Pop FCST'!$E13)</f>
        <v>5076732</v>
      </c>
      <c r="D24" s="16">
        <f>($E24/$C24)/$C$6</f>
        <v>1.5164539189751007E-7</v>
      </c>
      <c r="E24" s="21">
        <v>281</v>
      </c>
      <c r="F24" s="16">
        <f t="shared" ref="F24:F33" si="0">($G24/$C24)/$C$6</f>
        <v>1.0528831302207906E-7</v>
      </c>
      <c r="G24" s="21">
        <v>195.1</v>
      </c>
      <c r="H24" s="21">
        <f>SUM(E24,G24)</f>
        <v>476.1</v>
      </c>
      <c r="I24" s="179">
        <f>E24/H24</f>
        <v>0.59021214030665825</v>
      </c>
      <c r="J24" s="179"/>
      <c r="K24" s="179">
        <f t="shared" ref="K24:K34" si="1">G24/H24</f>
        <v>0.40978785969334169</v>
      </c>
      <c r="L24" s="179"/>
      <c r="M24" s="52"/>
    </row>
    <row r="25" spans="2:13">
      <c r="B25" s="6">
        <v>2011</v>
      </c>
      <c r="C25" s="20" cm="1">
        <f t="array" ref="C25">_xlfn.IFS($C$5="Low",'Pop FCST'!$C14,$C$5="Medium",'Pop FCST'!$D14,$C$5="High",'Pop FCST'!$E14)</f>
        <v>5183688</v>
      </c>
      <c r="D25" s="16">
        <f t="shared" ref="D25:D34" si="2">($E25/$C25)/$C$6</f>
        <v>1.4867502278432832E-7</v>
      </c>
      <c r="E25" s="21">
        <v>281.3</v>
      </c>
      <c r="F25" s="16">
        <f t="shared" si="0"/>
        <v>1.042257891683951E-7</v>
      </c>
      <c r="G25" s="21">
        <v>197.2</v>
      </c>
      <c r="H25" s="21">
        <f t="shared" ref="H25:H34" si="3">SUM(E25,G25)</f>
        <v>478.5</v>
      </c>
      <c r="I25" s="179">
        <f t="shared" ref="I25:I34" si="4">E25/H25</f>
        <v>0.58787878787878789</v>
      </c>
      <c r="J25" s="179"/>
      <c r="K25" s="179">
        <f t="shared" si="1"/>
        <v>0.41212121212121211</v>
      </c>
      <c r="L25" s="179"/>
      <c r="M25" s="52"/>
    </row>
    <row r="26" spans="2:13">
      <c r="B26" s="6">
        <v>2012</v>
      </c>
      <c r="C26" s="20" cm="1">
        <f t="array" ref="C26">_xlfn.IFS($C$5="Low",'Pop FCST'!$C15,$C$5="Medium",'Pop FCST'!$D15,$C$5="High",'Pop FCST'!$E15)</f>
        <v>5312437</v>
      </c>
      <c r="D26" s="16">
        <f t="shared" si="2"/>
        <v>1.4667055481162051E-7</v>
      </c>
      <c r="E26" s="21">
        <v>284.39999999999998</v>
      </c>
      <c r="F26" s="16">
        <f t="shared" si="0"/>
        <v>1.0649602520604654E-7</v>
      </c>
      <c r="G26" s="21">
        <v>206.5</v>
      </c>
      <c r="H26" s="21">
        <f t="shared" si="3"/>
        <v>490.9</v>
      </c>
      <c r="I26" s="179">
        <f t="shared" si="4"/>
        <v>0.57934406192707266</v>
      </c>
      <c r="J26" s="179"/>
      <c r="K26" s="179">
        <f t="shared" si="1"/>
        <v>0.42065593807292728</v>
      </c>
      <c r="L26" s="179"/>
      <c r="M26" s="52"/>
    </row>
    <row r="27" spans="2:13">
      <c r="B27" s="6">
        <v>2013</v>
      </c>
      <c r="C27" s="20" cm="1">
        <f t="array" ref="C27">_xlfn.IFS($C$5="Low",'Pop FCST'!$C16,$C$5="Medium",'Pop FCST'!$D16,$C$5="High",'Pop FCST'!$E16)</f>
        <v>5399162</v>
      </c>
      <c r="D27" s="16">
        <f t="shared" si="2"/>
        <v>1.4548173439781849E-7</v>
      </c>
      <c r="E27" s="21">
        <v>286.7</v>
      </c>
      <c r="F27" s="16">
        <f t="shared" si="0"/>
        <v>1.0752556511649019E-7</v>
      </c>
      <c r="G27" s="21">
        <v>211.9</v>
      </c>
      <c r="H27" s="21">
        <f t="shared" si="3"/>
        <v>498.6</v>
      </c>
      <c r="I27" s="179">
        <f t="shared" si="4"/>
        <v>0.57501002807862012</v>
      </c>
      <c r="J27" s="179"/>
      <c r="K27" s="179">
        <f t="shared" si="1"/>
        <v>0.42498997192137988</v>
      </c>
      <c r="L27" s="179"/>
      <c r="M27" s="52"/>
    </row>
    <row r="28" spans="2:13">
      <c r="B28" s="6">
        <v>2014</v>
      </c>
      <c r="C28" s="20" cm="1">
        <f t="array" ref="C28">_xlfn.IFS($C$5="Low",'Pop FCST'!$C17,$C$5="Medium",'Pop FCST'!$D17,$C$5="High",'Pop FCST'!$E17)</f>
        <v>5469724</v>
      </c>
      <c r="D28" s="16">
        <f t="shared" si="2"/>
        <v>1.4585895361047141E-7</v>
      </c>
      <c r="E28" s="21">
        <v>291.2</v>
      </c>
      <c r="F28" s="16">
        <f t="shared" si="0"/>
        <v>1.0774128063740523E-7</v>
      </c>
      <c r="G28" s="21">
        <v>215.1</v>
      </c>
      <c r="H28" s="21">
        <f t="shared" si="3"/>
        <v>506.29999999999995</v>
      </c>
      <c r="I28" s="179">
        <f t="shared" si="4"/>
        <v>0.57515307130159987</v>
      </c>
      <c r="J28" s="179"/>
      <c r="K28" s="179">
        <f t="shared" si="1"/>
        <v>0.42484692869840018</v>
      </c>
      <c r="L28" s="179"/>
      <c r="M28" s="52"/>
    </row>
    <row r="29" spans="2:13">
      <c r="B29" s="6">
        <v>2015</v>
      </c>
      <c r="C29" s="20" cm="1">
        <f t="array" ref="C29">_xlfn.IFS($C$5="Low",'Pop FCST'!$C18,$C$5="Medium",'Pop FCST'!$D18,$C$5="High",'Pop FCST'!$E18)</f>
        <v>5535002</v>
      </c>
      <c r="D29" s="16">
        <f t="shared" si="2"/>
        <v>1.4705913434895346E-7</v>
      </c>
      <c r="E29" s="21">
        <v>297.10000000000002</v>
      </c>
      <c r="F29" s="16">
        <f t="shared" si="0"/>
        <v>1.0770807012565558E-7</v>
      </c>
      <c r="G29" s="21">
        <v>217.6</v>
      </c>
      <c r="H29" s="21">
        <f t="shared" si="3"/>
        <v>514.70000000000005</v>
      </c>
      <c r="I29" s="179">
        <f t="shared" si="4"/>
        <v>0.57722945405090342</v>
      </c>
      <c r="J29" s="179"/>
      <c r="K29" s="179">
        <f t="shared" si="1"/>
        <v>0.42277054594909652</v>
      </c>
      <c r="L29" s="179"/>
      <c r="M29" s="52"/>
    </row>
    <row r="30" spans="2:13">
      <c r="B30" s="6">
        <v>2016</v>
      </c>
      <c r="C30" s="20" cm="1">
        <f t="array" ref="C30">_xlfn.IFS($C$5="Low",'Pop FCST'!$C19,$C$5="Medium",'Pop FCST'!$D19,$C$5="High",'Pop FCST'!$E19)</f>
        <v>5607283</v>
      </c>
      <c r="D30" s="16">
        <f t="shared" si="2"/>
        <v>1.4726444601735533E-7</v>
      </c>
      <c r="E30" s="21">
        <v>301.39999999999998</v>
      </c>
      <c r="F30" s="16">
        <f t="shared" si="0"/>
        <v>1.0534245043577241E-7</v>
      </c>
      <c r="G30" s="21">
        <v>215.6</v>
      </c>
      <c r="H30" s="21">
        <f t="shared" si="3"/>
        <v>517</v>
      </c>
      <c r="I30" s="179">
        <f t="shared" si="4"/>
        <v>0.58297872340425527</v>
      </c>
      <c r="J30" s="179"/>
      <c r="K30" s="179">
        <f t="shared" si="1"/>
        <v>0.41702127659574467</v>
      </c>
      <c r="L30" s="179"/>
      <c r="M30" s="52"/>
    </row>
    <row r="31" spans="2:13">
      <c r="B31" s="6">
        <v>2017</v>
      </c>
      <c r="C31" s="20" cm="1">
        <f t="array" ref="C31">_xlfn.IFS($C$5="Low",'Pop FCST'!$C20,$C$5="Medium",'Pop FCST'!$D20,$C$5="High",'Pop FCST'!$E20)</f>
        <v>5612253</v>
      </c>
      <c r="D31" s="16">
        <f t="shared" si="2"/>
        <v>1.4391212101035224E-7</v>
      </c>
      <c r="E31" s="21">
        <v>294.8</v>
      </c>
      <c r="F31" s="16">
        <f t="shared" si="0"/>
        <v>9.9830490999379345E-8</v>
      </c>
      <c r="G31" s="21">
        <v>204.5</v>
      </c>
      <c r="H31" s="21">
        <f t="shared" si="3"/>
        <v>499.3</v>
      </c>
      <c r="I31" s="179">
        <f t="shared" si="4"/>
        <v>0.59042659723613056</v>
      </c>
      <c r="J31" s="179"/>
      <c r="K31" s="179">
        <f t="shared" si="1"/>
        <v>0.40957340276386939</v>
      </c>
      <c r="L31" s="179"/>
      <c r="M31" s="52"/>
    </row>
    <row r="32" spans="2:13">
      <c r="B32" s="6">
        <v>2018</v>
      </c>
      <c r="C32" s="20" cm="1">
        <f t="array" ref="C32">_xlfn.IFS($C$5="Low",'Pop FCST'!$C21,$C$5="Medium",'Pop FCST'!$D21,$C$5="High",'Pop FCST'!$E21)</f>
        <v>5638676</v>
      </c>
      <c r="D32" s="16">
        <f t="shared" si="2"/>
        <v>1.429462159663499E-7</v>
      </c>
      <c r="E32" s="21">
        <v>294.2</v>
      </c>
      <c r="F32" s="16">
        <f t="shared" si="0"/>
        <v>9.7807862930068779E-8</v>
      </c>
      <c r="G32" s="21">
        <v>201.3</v>
      </c>
      <c r="H32" s="21">
        <f t="shared" si="3"/>
        <v>495.5</v>
      </c>
      <c r="I32" s="179">
        <f t="shared" si="4"/>
        <v>0.59374369323915233</v>
      </c>
      <c r="J32" s="179"/>
      <c r="K32" s="179">
        <f t="shared" si="1"/>
        <v>0.40625630676084767</v>
      </c>
      <c r="L32" s="179"/>
      <c r="M32" s="52"/>
    </row>
    <row r="33" spans="2:14">
      <c r="B33" s="6">
        <v>2019</v>
      </c>
      <c r="C33" s="20" cm="1">
        <f t="array" ref="C33">_xlfn.IFS($C$5="Low",'Pop FCST'!$C22,$C$5="Medium",'Pop FCST'!$D22,$C$5="High",'Pop FCST'!$E22)</f>
        <v>5703569</v>
      </c>
      <c r="D33" s="16">
        <f t="shared" si="2"/>
        <v>1.4295302919162103E-7</v>
      </c>
      <c r="E33" s="21">
        <v>297.60000000000002</v>
      </c>
      <c r="F33" s="16">
        <f t="shared" si="0"/>
        <v>9.7319501727897899E-8</v>
      </c>
      <c r="G33" s="21">
        <v>202.6</v>
      </c>
      <c r="H33" s="21">
        <f t="shared" si="3"/>
        <v>500.20000000000005</v>
      </c>
      <c r="I33" s="179">
        <f t="shared" si="4"/>
        <v>0.59496201519392244</v>
      </c>
      <c r="J33" s="179"/>
      <c r="K33" s="179">
        <f t="shared" si="1"/>
        <v>0.4050379848060775</v>
      </c>
      <c r="L33" s="179"/>
      <c r="M33" s="52"/>
    </row>
    <row r="34" spans="2:14">
      <c r="B34" s="6">
        <v>2020</v>
      </c>
      <c r="C34" s="20" cm="1">
        <f t="array" ref="C34">_xlfn.IFS($C$5="Low",'Pop FCST'!$C23,$C$5="Medium",'Pop FCST'!$D23,$C$5="High",'Pop FCST'!$E23)</f>
        <v>5685807</v>
      </c>
      <c r="D34" s="16">
        <f t="shared" si="2"/>
        <v>1.5453041881061059E-7</v>
      </c>
      <c r="E34" s="21">
        <v>320.7</v>
      </c>
      <c r="F34" s="16">
        <f>($G34/$C34)/$C$6</f>
        <v>8.6974557515794245E-8</v>
      </c>
      <c r="G34" s="21">
        <v>180.5</v>
      </c>
      <c r="H34" s="21">
        <f t="shared" si="3"/>
        <v>501.2</v>
      </c>
      <c r="I34" s="179">
        <f t="shared" si="4"/>
        <v>0.63986432561851558</v>
      </c>
      <c r="J34" s="179"/>
      <c r="K34" s="179">
        <f t="shared" si="1"/>
        <v>0.36013567438148447</v>
      </c>
      <c r="L34" s="179"/>
      <c r="M34" s="52"/>
      <c r="N34" s="43"/>
    </row>
    <row r="35" spans="2:14" ht="14.4" thickBot="1">
      <c r="H35" s="63" t="s">
        <v>78</v>
      </c>
      <c r="I35" s="180">
        <f>AVERAGE(I24:I34)</f>
        <v>0.58970935438505623</v>
      </c>
      <c r="J35" s="180"/>
      <c r="K35" s="180">
        <f>AVERAGE(K24:K34)</f>
        <v>0.41029064561494377</v>
      </c>
      <c r="L35" s="180"/>
    </row>
    <row r="36" spans="2:14" ht="15" thickTop="1">
      <c r="D36" s="43"/>
      <c r="F36" s="46"/>
      <c r="J36" s="10"/>
      <c r="M36" s="10"/>
    </row>
    <row r="37" spans="2:14" ht="14.4">
      <c r="F37" s="46"/>
      <c r="J37" s="10"/>
      <c r="M37" s="10"/>
    </row>
    <row r="38" spans="2:14" ht="14.4">
      <c r="B38" s="10" t="s">
        <v>79</v>
      </c>
      <c r="J38" s="10" t="s">
        <v>80</v>
      </c>
      <c r="M38" s="10" t="s">
        <v>81</v>
      </c>
    </row>
    <row r="39" spans="2:14" ht="14.4">
      <c r="D39" s="14" t="s">
        <v>67</v>
      </c>
      <c r="E39" s="14" t="s">
        <v>67</v>
      </c>
      <c r="F39" s="14" t="s">
        <v>67</v>
      </c>
      <c r="G39" s="14" t="s">
        <v>67</v>
      </c>
      <c r="H39" s="14" t="s">
        <v>67</v>
      </c>
      <c r="J39" s="10"/>
      <c r="K39" s="14" t="s">
        <v>67</v>
      </c>
      <c r="M39" s="10"/>
      <c r="N39" s="14" t="s">
        <v>67</v>
      </c>
    </row>
    <row r="40" spans="2:14">
      <c r="B40" s="184" t="s">
        <v>25</v>
      </c>
      <c r="C40" s="167" t="s">
        <v>4</v>
      </c>
      <c r="D40" s="185" t="s">
        <v>68</v>
      </c>
      <c r="E40" s="186"/>
      <c r="F40" s="185" t="s">
        <v>69</v>
      </c>
      <c r="G40" s="186"/>
      <c r="H40" s="167" t="s">
        <v>55</v>
      </c>
      <c r="J40" s="167" t="s">
        <v>25</v>
      </c>
      <c r="K40" s="171" t="s">
        <v>82</v>
      </c>
      <c r="M40" s="167" t="s">
        <v>25</v>
      </c>
      <c r="N40" s="171" t="s">
        <v>82</v>
      </c>
    </row>
    <row r="41" spans="2:14">
      <c r="B41" s="184"/>
      <c r="C41" s="167" t="s">
        <v>4</v>
      </c>
      <c r="D41" s="25" t="s">
        <v>70</v>
      </c>
      <c r="E41" s="25" t="s">
        <v>71</v>
      </c>
      <c r="F41" s="25" t="s">
        <v>70</v>
      </c>
      <c r="G41" s="25" t="s">
        <v>71</v>
      </c>
      <c r="H41" s="167"/>
      <c r="J41" s="167"/>
      <c r="K41" s="171"/>
      <c r="M41" s="167"/>
      <c r="N41" s="171"/>
    </row>
    <row r="42" spans="2:14">
      <c r="B42" s="6">
        <v>2021</v>
      </c>
      <c r="C42" s="3" cm="1">
        <f t="array" ref="C42">_xlfn.IFS($C$5="Low",'Pop FCST'!$C29,$C$5="Medium",'Pop FCST'!$D29,$C$5="High",'Pop FCST'!$E29)</f>
        <v>5759019.1332</v>
      </c>
      <c r="D42" s="16">
        <f>$N42</f>
        <v>1.5207737692954953E-7</v>
      </c>
      <c r="E42" s="5">
        <f>$C42*$D42*$C$6</f>
        <v>319.67303106441256</v>
      </c>
      <c r="F42" s="16">
        <f>(D42/$I$35)*$K$35</f>
        <v>1.058079284309776E-7</v>
      </c>
      <c r="G42" s="5">
        <f>$C42*$F42*$C$6</f>
        <v>222.41270776156352</v>
      </c>
      <c r="H42" s="26">
        <f t="shared" ref="H42:H86" si="5">SUM(E42,G42)</f>
        <v>542.08573882597602</v>
      </c>
      <c r="J42" s="6">
        <v>2021</v>
      </c>
      <c r="K42" s="42">
        <f>IF(J42=2021, $D$34-($D$34-$K$51)/COUNT($J$42:$J$51),K41-($D$34-$K$51)/COUNT($J$42:$J$51))</f>
        <v>1.5207737692954953E-7</v>
      </c>
      <c r="M42" s="6">
        <v>2021</v>
      </c>
      <c r="N42" s="42">
        <f>IF(J42&gt;=$C$15,K42*(1-$C$16*$C$17),K42)</f>
        <v>1.5207737692954953E-7</v>
      </c>
    </row>
    <row r="43" spans="2:14">
      <c r="B43" s="6">
        <v>2022</v>
      </c>
      <c r="C43" s="3" cm="1">
        <f t="array" ref="C43">_xlfn.IFS($C$5="Low",'Pop FCST'!$C30,$C$5="Medium",'Pop FCST'!$D30,$C$5="High",'Pop FCST'!$E30)</f>
        <v>5832787.6786123207</v>
      </c>
      <c r="D43" s="16">
        <f t="shared" ref="D43:D86" si="6">$N43</f>
        <v>1.4962433504848847E-7</v>
      </c>
      <c r="E43" s="5">
        <f t="shared" ref="E43:E86" si="7">$C43*$D43*$C$6</f>
        <v>318.54534693035555</v>
      </c>
      <c r="F43" s="16">
        <f t="shared" ref="F43:F86" si="8">(D43/$I$35)*$K$35</f>
        <v>1.0410122303514652E-7</v>
      </c>
      <c r="G43" s="5">
        <f t="shared" ref="G43:G86" si="9">$C43*$F43*$C$6</f>
        <v>221.62812083247465</v>
      </c>
      <c r="H43" s="26">
        <f>SUM(E43,G43)</f>
        <v>540.17346776283023</v>
      </c>
      <c r="J43" s="6">
        <v>2022</v>
      </c>
      <c r="K43" s="42">
        <f t="shared" ref="K43:K50" si="10">IF(J43=2021, $D$34-($D$34-$K$51)/COUNT($J$42:$J$51),K42-($D$34-$K$51)/COUNT($J$42:$J$51))</f>
        <v>1.4962433504848847E-7</v>
      </c>
      <c r="M43" s="6">
        <v>2022</v>
      </c>
      <c r="N43" s="42">
        <f t="shared" ref="N43:N86" si="11">IF(J43&gt;=$C$15,K43*(1-$C$16*$C$17),K43)</f>
        <v>1.4962433504848847E-7</v>
      </c>
    </row>
    <row r="44" spans="2:14">
      <c r="B44" s="6">
        <v>2023</v>
      </c>
      <c r="C44" s="3" cm="1">
        <f t="array" ref="C44">_xlfn.IFS($C$5="Low",'Pop FCST'!$C31,$C$5="Medium",'Pop FCST'!$D31,$C$5="High",'Pop FCST'!$E31)</f>
        <v>5907116.8649697751</v>
      </c>
      <c r="D44" s="16">
        <f t="shared" si="6"/>
        <v>1.4717129316742741E-7</v>
      </c>
      <c r="E44" s="5">
        <f t="shared" si="7"/>
        <v>317.31568018668338</v>
      </c>
      <c r="F44" s="16">
        <f t="shared" si="8"/>
        <v>1.0239451763931543E-7</v>
      </c>
      <c r="G44" s="5">
        <f t="shared" si="9"/>
        <v>220.77257944009057</v>
      </c>
      <c r="H44" s="26">
        <f t="shared" si="5"/>
        <v>538.08825962677395</v>
      </c>
      <c r="J44" s="6">
        <v>2023</v>
      </c>
      <c r="K44" s="42">
        <f t="shared" si="10"/>
        <v>1.4717129316742741E-7</v>
      </c>
      <c r="M44" s="6">
        <v>2023</v>
      </c>
      <c r="N44" s="42">
        <f t="shared" si="11"/>
        <v>1.4717129316742741E-7</v>
      </c>
    </row>
    <row r="45" spans="2:14">
      <c r="B45" s="6">
        <v>2024</v>
      </c>
      <c r="C45" s="3" cm="1">
        <f t="array" ref="C45">_xlfn.IFS($C$5="Low",'Pop FCST'!$C32,$C$5="Medium",'Pop FCST'!$D32,$C$5="High",'Pop FCST'!$E32)</f>
        <v>5982010.9531435454</v>
      </c>
      <c r="D45" s="16">
        <f t="shared" si="6"/>
        <v>1.4471825128636635E-7</v>
      </c>
      <c r="E45" s="5">
        <f t="shared" si="7"/>
        <v>315.98274997491058</v>
      </c>
      <c r="F45" s="16">
        <f t="shared" si="8"/>
        <v>1.0068781224348435E-7</v>
      </c>
      <c r="G45" s="5">
        <f t="shared" si="9"/>
        <v>219.84519242633323</v>
      </c>
      <c r="H45" s="26">
        <f t="shared" si="5"/>
        <v>535.82794240124383</v>
      </c>
      <c r="J45" s="6">
        <v>2024</v>
      </c>
      <c r="K45" s="42">
        <f>IF(J45=2021, $D$34-($D$34-$K$51)/COUNT($J$42:$J$51),K44-($D$34-$K$51)/COUNT($J$42:$J$51))</f>
        <v>1.4471825128636635E-7</v>
      </c>
      <c r="M45" s="6">
        <v>2024</v>
      </c>
      <c r="N45" s="42">
        <f>IF(J45&gt;=$C$15,K45*(1-$C$16*$C$17),K45)</f>
        <v>1.4471825128636635E-7</v>
      </c>
    </row>
    <row r="46" spans="2:14">
      <c r="B46" s="6">
        <v>2025</v>
      </c>
      <c r="C46" s="3" cm="1">
        <f t="array" ref="C46">_xlfn.IFS($C$5="Low",'Pop FCST'!$C33,$C$5="Medium",'Pop FCST'!$D33,$C$5="High",'Pop FCST'!$E33)</f>
        <v>6057474.2363874363</v>
      </c>
      <c r="D46" s="16">
        <f t="shared" si="6"/>
        <v>1.4226520940530529E-7</v>
      </c>
      <c r="E46" s="5">
        <f t="shared" si="7"/>
        <v>314.54526185801865</v>
      </c>
      <c r="F46" s="16">
        <f t="shared" si="8"/>
        <v>9.8981106847653272E-8</v>
      </c>
      <c r="G46" s="5">
        <f t="shared" si="9"/>
        <v>218.84505918585168</v>
      </c>
      <c r="H46" s="26">
        <f t="shared" si="5"/>
        <v>533.39032104387036</v>
      </c>
      <c r="J46" s="6">
        <v>2025</v>
      </c>
      <c r="K46" s="42">
        <f t="shared" si="10"/>
        <v>1.4226520940530529E-7</v>
      </c>
      <c r="M46" s="6">
        <v>2025</v>
      </c>
      <c r="N46" s="42">
        <f>IF(J46&gt;=$C$15,K46*(1-$C$16*$C$17),K46)</f>
        <v>1.4226520940530529E-7</v>
      </c>
    </row>
    <row r="47" spans="2:14">
      <c r="B47" s="6">
        <v>2026</v>
      </c>
      <c r="C47" s="3" cm="1">
        <f t="array" ref="C47">_xlfn.IFS($C$5="Low",'Pop FCST'!$C34,$C$5="Medium",'Pop FCST'!$D34,$C$5="High",'Pop FCST'!$E34)</f>
        <v>6133511.0405839812</v>
      </c>
      <c r="D47" s="16">
        <f t="shared" si="6"/>
        <v>1.3981216752424423E-7</v>
      </c>
      <c r="E47" s="5">
        <f t="shared" si="7"/>
        <v>313.00190768804413</v>
      </c>
      <c r="F47" s="16">
        <f t="shared" si="8"/>
        <v>9.7274401451822197E-8</v>
      </c>
      <c r="G47" s="5">
        <f t="shared" si="9"/>
        <v>217.77126957389672</v>
      </c>
      <c r="H47" s="26">
        <f t="shared" si="5"/>
        <v>530.77317726194087</v>
      </c>
      <c r="J47" s="6">
        <v>2026</v>
      </c>
      <c r="K47" s="42">
        <f t="shared" si="10"/>
        <v>1.3981216752424423E-7</v>
      </c>
      <c r="M47" s="6">
        <v>2026</v>
      </c>
      <c r="N47" s="42">
        <f t="shared" si="11"/>
        <v>1.3981216752424423E-7</v>
      </c>
    </row>
    <row r="48" spans="2:14">
      <c r="B48" s="6">
        <v>2027</v>
      </c>
      <c r="C48" s="3" cm="1">
        <f t="array" ref="C48">_xlfn.IFS($C$5="Low",'Pop FCST'!$C35,$C$5="Medium",'Pop FCST'!$D35,$C$5="High",'Pop FCST'!$E35)</f>
        <v>6210125.7244924195</v>
      </c>
      <c r="D48" s="16">
        <f t="shared" si="6"/>
        <v>1.3735912564318318E-7</v>
      </c>
      <c r="E48" s="5">
        <f t="shared" si="7"/>
        <v>311.35136547243917</v>
      </c>
      <c r="F48" s="16">
        <f t="shared" si="8"/>
        <v>9.5567696055991109E-8</v>
      </c>
      <c r="G48" s="5">
        <f t="shared" si="9"/>
        <v>216.62290381334083</v>
      </c>
      <c r="H48" s="26">
        <f t="shared" si="5"/>
        <v>527.97426928578</v>
      </c>
      <c r="J48" s="6">
        <v>2027</v>
      </c>
      <c r="K48" s="42">
        <f t="shared" si="10"/>
        <v>1.3735912564318318E-7</v>
      </c>
      <c r="M48" s="6">
        <v>2027</v>
      </c>
      <c r="N48" s="42">
        <f t="shared" si="11"/>
        <v>1.3735912564318318E-7</v>
      </c>
    </row>
    <row r="49" spans="2:14">
      <c r="B49" s="6">
        <v>2028</v>
      </c>
      <c r="C49" s="3" cm="1">
        <f t="array" ref="C49">_xlfn.IFS($C$5="Low",'Pop FCST'!$C36,$C$5="Medium",'Pop FCST'!$D36,$C$5="High",'Pop FCST'!$E36)</f>
        <v>6287322.6799985627</v>
      </c>
      <c r="D49" s="16">
        <f t="shared" si="6"/>
        <v>1.3490608376212212E-7</v>
      </c>
      <c r="E49" s="5">
        <f t="shared" si="7"/>
        <v>309.5922992391923</v>
      </c>
      <c r="F49" s="16">
        <f t="shared" si="8"/>
        <v>9.3860990660160035E-8</v>
      </c>
      <c r="G49" s="5">
        <f t="shared" si="9"/>
        <v>215.39903240083646</v>
      </c>
      <c r="H49" s="26">
        <f t="shared" si="5"/>
        <v>524.99133164002876</v>
      </c>
      <c r="J49" s="6">
        <v>2028</v>
      </c>
      <c r="K49" s="42">
        <f t="shared" si="10"/>
        <v>1.3490608376212212E-7</v>
      </c>
      <c r="M49" s="6">
        <v>2028</v>
      </c>
      <c r="N49" s="42">
        <f>IF(J49&gt;=$C$15,K49*(1-$C$16*$C$17),K49)</f>
        <v>1.3490608376212212E-7</v>
      </c>
    </row>
    <row r="50" spans="2:14">
      <c r="B50" s="6">
        <v>2029</v>
      </c>
      <c r="C50" s="3" cm="1">
        <f t="array" ref="C50">_xlfn.IFS($C$5="Low",'Pop FCST'!$C37,$C$5="Medium",'Pop FCST'!$D37,$C$5="High",'Pop FCST'!$E37)</f>
        <v>6365106.3323665522</v>
      </c>
      <c r="D50" s="16">
        <f t="shared" si="6"/>
        <v>1.3245304188106106E-7</v>
      </c>
      <c r="E50" s="5">
        <f>$C50*$D50*$C$6</f>
        <v>307.72335890069917</v>
      </c>
      <c r="F50" s="16">
        <f t="shared" si="8"/>
        <v>9.215428526432896E-8</v>
      </c>
      <c r="G50" s="5">
        <f>$C50*$F50*$C$6</f>
        <v>214.09871601210327</v>
      </c>
      <c r="H50" s="26">
        <f t="shared" si="5"/>
        <v>521.82207491280246</v>
      </c>
      <c r="J50" s="6">
        <v>2029</v>
      </c>
      <c r="K50" s="42">
        <f t="shared" si="10"/>
        <v>1.3245304188106106E-7</v>
      </c>
      <c r="M50" s="6">
        <v>2029</v>
      </c>
      <c r="N50" s="42">
        <f t="shared" si="11"/>
        <v>1.3245304188106106E-7</v>
      </c>
    </row>
    <row r="51" spans="2:14">
      <c r="B51" s="6">
        <v>2030</v>
      </c>
      <c r="C51" s="3" cm="1">
        <f t="array" ref="C51">_xlfn.IFS($C$5="Low",'Pop FCST'!$C38,$C$5="Medium",'Pop FCST'!$D38,$C$5="High",'Pop FCST'!$E38)</f>
        <v>6443481.140492538</v>
      </c>
      <c r="D51" s="16">
        <f t="shared" si="6"/>
        <v>1.3E-7</v>
      </c>
      <c r="E51" s="5">
        <f t="shared" si="7"/>
        <v>305.74318011637092</v>
      </c>
      <c r="F51" s="16">
        <f t="shared" si="8"/>
        <v>9.0447579868497872E-8</v>
      </c>
      <c r="G51" s="5">
        <f t="shared" si="9"/>
        <v>212.72100540633838</v>
      </c>
      <c r="H51" s="26">
        <f t="shared" si="5"/>
        <v>518.46418552270927</v>
      </c>
      <c r="J51" s="6">
        <v>2030</v>
      </c>
      <c r="K51" s="53">
        <f>C10</f>
        <v>1.3E-7</v>
      </c>
      <c r="M51" s="6">
        <v>2030</v>
      </c>
      <c r="N51" s="42">
        <f>IF(J51&gt;=$C$15,K51*(1-$C$16*$C$17),K51)</f>
        <v>1.3E-7</v>
      </c>
    </row>
    <row r="52" spans="2:14">
      <c r="B52" s="6">
        <v>2031</v>
      </c>
      <c r="C52" s="3" cm="1">
        <f t="array" ref="C52">_xlfn.IFS($C$5="Low",'Pop FCST'!$C39,$C$5="Medium",'Pop FCST'!$D39,$C$5="High",'Pop FCST'!$E39)</f>
        <v>6522451.5971602816</v>
      </c>
      <c r="D52" s="16">
        <f t="shared" si="6"/>
        <v>1.2966666666666668E-7</v>
      </c>
      <c r="E52" s="5">
        <f t="shared" si="7"/>
        <v>308.69676334093418</v>
      </c>
      <c r="F52" s="16">
        <f>(D52/$I$35)*$K$35</f>
        <v>9.0215662997040189E-8</v>
      </c>
      <c r="G52" s="5">
        <f t="shared" si="9"/>
        <v>214.77596274943025</v>
      </c>
      <c r="H52" s="26">
        <f t="shared" si="5"/>
        <v>523.4727260903644</v>
      </c>
      <c r="J52" s="6">
        <v>2031</v>
      </c>
      <c r="K52" s="42">
        <f>K51-($K$51-$K$81)/COUNT($J$52:$J$81)</f>
        <v>1.2966666666666668E-7</v>
      </c>
      <c r="M52" s="6">
        <v>2031</v>
      </c>
      <c r="N52" s="42">
        <f>IF(J52&gt;=$C$15,K52*(1-$C$16*$C$17),K52)</f>
        <v>1.2966666666666668E-7</v>
      </c>
    </row>
    <row r="53" spans="2:14">
      <c r="B53" s="6">
        <v>2032</v>
      </c>
      <c r="C53" s="3" cm="1">
        <f t="array" ref="C53">_xlfn.IFS($C$5="Low",'Pop FCST'!$C40,$C$5="Medium",'Pop FCST'!$D40,$C$5="High",'Pop FCST'!$E40)</f>
        <v>6602022.2292986996</v>
      </c>
      <c r="D53" s="16">
        <f t="shared" si="6"/>
        <v>1.2933333333333335E-7</v>
      </c>
      <c r="E53" s="5">
        <f>$C53*$D53*$C$6</f>
        <v>311.65946270442731</v>
      </c>
      <c r="F53" s="16">
        <f t="shared" si="8"/>
        <v>8.9983746125582506E-8</v>
      </c>
      <c r="G53" s="5">
        <f t="shared" si="9"/>
        <v>216.83726265178325</v>
      </c>
      <c r="H53" s="26">
        <f t="shared" si="5"/>
        <v>528.49672535621062</v>
      </c>
      <c r="J53" s="6">
        <v>2032</v>
      </c>
      <c r="K53" s="42">
        <f>K52-($K$51-$K$81)/COUNT($J$52:$J$81)</f>
        <v>1.2933333333333335E-7</v>
      </c>
      <c r="M53" s="6">
        <v>2032</v>
      </c>
      <c r="N53" s="42">
        <f t="shared" si="11"/>
        <v>1.2933333333333335E-7</v>
      </c>
    </row>
    <row r="54" spans="2:14">
      <c r="B54" s="6">
        <v>2033</v>
      </c>
      <c r="C54" s="3" cm="1">
        <f t="array" ref="C54">_xlfn.IFS($C$5="Low",'Pop FCST'!$C41,$C$5="Medium",'Pop FCST'!$D41,$C$5="High",'Pop FCST'!$E41)</f>
        <v>6682197.5982413702</v>
      </c>
      <c r="D54" s="16">
        <f t="shared" si="6"/>
        <v>1.2900000000000003E-7</v>
      </c>
      <c r="E54" s="5">
        <f t="shared" si="7"/>
        <v>314.631273913195</v>
      </c>
      <c r="F54" s="16">
        <f t="shared" si="8"/>
        <v>8.9751829254124837E-8</v>
      </c>
      <c r="G54" s="5">
        <f t="shared" si="9"/>
        <v>218.90490212608412</v>
      </c>
      <c r="H54" s="26">
        <f t="shared" si="5"/>
        <v>533.5361760392791</v>
      </c>
      <c r="J54" s="6">
        <v>2033</v>
      </c>
      <c r="K54" s="42">
        <f t="shared" ref="K54:K80" si="12">K53-($K$51-$K$81)/COUNT($J$52:$J$81)</f>
        <v>1.2900000000000003E-7</v>
      </c>
      <c r="M54" s="6">
        <v>2033</v>
      </c>
      <c r="N54" s="42">
        <f t="shared" si="11"/>
        <v>1.2900000000000003E-7</v>
      </c>
    </row>
    <row r="55" spans="2:14">
      <c r="B55" s="6">
        <v>2034</v>
      </c>
      <c r="C55" s="3" cm="1">
        <f t="array" ref="C55">_xlfn.IFS($C$5="Low",'Pop FCST'!$C42,$C$5="Medium",'Pop FCST'!$D42,$C$5="High",'Pop FCST'!$E42)</f>
        <v>6762982.2999880053</v>
      </c>
      <c r="D55" s="16">
        <f t="shared" si="6"/>
        <v>1.2866666666666671E-7</v>
      </c>
      <c r="E55" s="5">
        <f t="shared" si="7"/>
        <v>317.6121920817701</v>
      </c>
      <c r="F55" s="16">
        <f t="shared" si="8"/>
        <v>8.9519912382667154E-8</v>
      </c>
      <c r="G55" s="5">
        <f>$C55*$F55*$C$6</f>
        <v>220.97887777326608</v>
      </c>
      <c r="H55" s="26">
        <f t="shared" si="5"/>
        <v>538.59106985503615</v>
      </c>
      <c r="J55" s="6">
        <v>2034</v>
      </c>
      <c r="K55" s="42">
        <f t="shared" si="12"/>
        <v>1.2866666666666671E-7</v>
      </c>
      <c r="M55" s="6">
        <v>2034</v>
      </c>
      <c r="N55" s="42">
        <f t="shared" si="11"/>
        <v>1.2866666666666671E-7</v>
      </c>
    </row>
    <row r="56" spans="2:14">
      <c r="B56" s="6">
        <v>2035</v>
      </c>
      <c r="C56" s="3" cm="1">
        <f t="array" ref="C56">_xlfn.IFS($C$5="Low",'Pop FCST'!$C43,$C$5="Medium",'Pop FCST'!$D43,$C$5="High",'Pop FCST'!$E43)</f>
        <v>6844380.9654679149</v>
      </c>
      <c r="D56" s="16">
        <f t="shared" si="6"/>
        <v>1.2833333333333338E-7</v>
      </c>
      <c r="E56" s="5">
        <f t="shared" si="7"/>
        <v>320.60221172412639</v>
      </c>
      <c r="F56" s="16">
        <f t="shared" si="8"/>
        <v>8.9287995511209484E-8</v>
      </c>
      <c r="G56" s="5">
        <f t="shared" si="9"/>
        <v>223.05918577642299</v>
      </c>
      <c r="H56" s="26">
        <f t="shared" si="5"/>
        <v>543.66139750054936</v>
      </c>
      <c r="J56" s="6">
        <v>2035</v>
      </c>
      <c r="K56" s="42">
        <f t="shared" si="12"/>
        <v>1.2833333333333338E-7</v>
      </c>
      <c r="M56" s="6">
        <v>2035</v>
      </c>
      <c r="N56" s="42">
        <f t="shared" si="11"/>
        <v>1.2833333333333338E-7</v>
      </c>
    </row>
    <row r="57" spans="2:14">
      <c r="B57" s="6">
        <v>2036</v>
      </c>
      <c r="C57" s="3" cm="1">
        <f t="array" ref="C57">_xlfn.IFS($C$5="Low",'Pop FCST'!$C44,$C$5="Medium",'Pop FCST'!$D44,$C$5="High",'Pop FCST'!$E44)</f>
        <v>6926398.2608054718</v>
      </c>
      <c r="D57" s="16">
        <f t="shared" si="6"/>
        <v>1.2800000000000006E-7</v>
      </c>
      <c r="E57" s="5">
        <f t="shared" si="7"/>
        <v>323.60132674483179</v>
      </c>
      <c r="F57" s="16">
        <f>(D57/$I$35)*$K$35</f>
        <v>8.9056078639751801E-8</v>
      </c>
      <c r="G57" s="5">
        <f t="shared" si="9"/>
        <v>225.14582189465426</v>
      </c>
      <c r="H57" s="26">
        <f t="shared" si="5"/>
        <v>548.74714863948611</v>
      </c>
      <c r="J57" s="6">
        <v>2036</v>
      </c>
      <c r="K57" s="42">
        <f>K56-($K$51-$K$81)/COUNT($J$52:$J$81)</f>
        <v>1.2800000000000006E-7</v>
      </c>
      <c r="M57" s="6">
        <v>2036</v>
      </c>
      <c r="N57" s="42">
        <f t="shared" si="11"/>
        <v>1.2800000000000006E-7</v>
      </c>
    </row>
    <row r="58" spans="2:14" ht="13.5" customHeight="1">
      <c r="B58" s="6">
        <v>2037</v>
      </c>
      <c r="C58" s="3" cm="1">
        <f t="array" ref="C58">_xlfn.IFS($C$5="Low",'Pop FCST'!$C45,$C$5="Medium",'Pop FCST'!$D45,$C$5="High",'Pop FCST'!$E45)</f>
        <v>7009038.8875875939</v>
      </c>
      <c r="D58" s="16">
        <f t="shared" si="6"/>
        <v>1.2766666666666674E-7</v>
      </c>
      <c r="E58" s="5">
        <f t="shared" si="7"/>
        <v>326.60953043010272</v>
      </c>
      <c r="F58" s="16">
        <f t="shared" si="8"/>
        <v>8.8824161768294118E-8</v>
      </c>
      <c r="G58" s="5">
        <f t="shared" si="9"/>
        <v>227.23878145684083</v>
      </c>
      <c r="H58" s="26">
        <f t="shared" si="5"/>
        <v>553.84831188694352</v>
      </c>
      <c r="J58" s="6">
        <v>2037</v>
      </c>
      <c r="K58" s="42">
        <f t="shared" si="12"/>
        <v>1.2766666666666674E-7</v>
      </c>
      <c r="M58" s="6">
        <v>2037</v>
      </c>
      <c r="N58" s="42">
        <f>IF(J58&gt;=$C$15,K58*(1-$C$16*$C$17),K58)</f>
        <v>1.2766666666666674E-7</v>
      </c>
    </row>
    <row r="59" spans="2:14">
      <c r="B59" s="6">
        <v>2038</v>
      </c>
      <c r="C59" s="3" cm="1">
        <f t="array" ref="C59">_xlfn.IFS($C$5="Low",'Pop FCST'!$C46,$C$5="Medium",'Pop FCST'!$D46,$C$5="High",'Pop FCST'!$E46)</f>
        <v>7092307.5831332598</v>
      </c>
      <c r="D59" s="16">
        <f t="shared" si="6"/>
        <v>1.2733333333333341E-7</v>
      </c>
      <c r="E59" s="5">
        <f t="shared" si="7"/>
        <v>329.62681543875698</v>
      </c>
      <c r="F59" s="16">
        <f t="shared" si="8"/>
        <v>8.8592244896836435E-8</v>
      </c>
      <c r="G59" s="5">
        <f t="shared" si="9"/>
        <v>229.33805935535065</v>
      </c>
      <c r="H59" s="26">
        <f t="shared" si="5"/>
        <v>558.96487479410757</v>
      </c>
      <c r="J59" s="6">
        <v>2038</v>
      </c>
      <c r="K59" s="42">
        <f t="shared" si="12"/>
        <v>1.2733333333333341E-7</v>
      </c>
      <c r="M59" s="6">
        <v>2038</v>
      </c>
      <c r="N59" s="42">
        <f t="shared" si="11"/>
        <v>1.2733333333333341E-7</v>
      </c>
    </row>
    <row r="60" spans="2:14">
      <c r="B60" s="6">
        <v>2039</v>
      </c>
      <c r="C60" s="3" cm="1">
        <f t="array" ref="C60">_xlfn.IFS($C$5="Low",'Pop FCST'!$C47,$C$5="Medium",'Pop FCST'!$D47,$C$5="High",'Pop FCST'!$E47)</f>
        <v>7176209.1207650732</v>
      </c>
      <c r="D60" s="16">
        <f t="shared" si="6"/>
        <v>1.2700000000000009E-7</v>
      </c>
      <c r="E60" s="5">
        <f t="shared" si="7"/>
        <v>332.65317379306521</v>
      </c>
      <c r="F60" s="16">
        <f t="shared" si="8"/>
        <v>8.8360328025378752E-8</v>
      </c>
      <c r="G60" s="5">
        <f t="shared" si="9"/>
        <v>231.4436500396736</v>
      </c>
      <c r="H60" s="26">
        <f t="shared" si="5"/>
        <v>564.09682383273878</v>
      </c>
      <c r="J60" s="6">
        <v>2039</v>
      </c>
      <c r="K60" s="42">
        <f t="shared" si="12"/>
        <v>1.2700000000000009E-7</v>
      </c>
      <c r="M60" s="6">
        <v>2039</v>
      </c>
      <c r="N60" s="42">
        <f t="shared" si="11"/>
        <v>1.2700000000000009E-7</v>
      </c>
    </row>
    <row r="61" spans="2:14">
      <c r="B61" s="6">
        <v>2040</v>
      </c>
      <c r="C61" s="3" cm="1">
        <f t="array" ref="C61">_xlfn.IFS($C$5="Low",'Pop FCST'!$C48,$C$5="Medium",'Pop FCST'!$D48,$C$5="High",'Pop FCST'!$E48)</f>
        <v>7260748.3100828882</v>
      </c>
      <c r="D61" s="16">
        <f t="shared" si="6"/>
        <v>1.2514666666666677E-7</v>
      </c>
      <c r="E61" s="5">
        <f t="shared" si="7"/>
        <v>331.66033370706515</v>
      </c>
      <c r="F61" s="16">
        <f t="shared" si="8"/>
        <v>8.7070870220074013E-8</v>
      </c>
      <c r="G61" s="5">
        <f t="shared" si="9"/>
        <v>230.75288093986487</v>
      </c>
      <c r="H61" s="26">
        <f t="shared" si="5"/>
        <v>562.41321464692999</v>
      </c>
      <c r="J61" s="6">
        <v>2040</v>
      </c>
      <c r="K61" s="42">
        <f t="shared" si="12"/>
        <v>1.2666666666666677E-7</v>
      </c>
      <c r="M61" s="6">
        <v>2040</v>
      </c>
      <c r="N61" s="42">
        <f t="shared" si="11"/>
        <v>1.2514666666666677E-7</v>
      </c>
    </row>
    <row r="62" spans="2:14">
      <c r="B62" s="6">
        <v>2041</v>
      </c>
      <c r="C62" s="3" cm="1">
        <f t="array" ref="C62">_xlfn.IFS($C$5="Low",'Pop FCST'!$C49,$C$5="Medium",'Pop FCST'!$D49,$C$5="High",'Pop FCST'!$E49)</f>
        <v>7345929.9972395189</v>
      </c>
      <c r="D62" s="16">
        <f t="shared" si="6"/>
        <v>1.2481733333333345E-7</v>
      </c>
      <c r="E62" s="5">
        <f t="shared" si="7"/>
        <v>334.6682784847041</v>
      </c>
      <c r="F62" s="16">
        <f t="shared" si="8"/>
        <v>8.6841736351073848E-8</v>
      </c>
      <c r="G62" s="5">
        <f t="shared" si="9"/>
        <v>232.84566036690742</v>
      </c>
      <c r="H62" s="26">
        <f t="shared" si="5"/>
        <v>567.51393885161156</v>
      </c>
      <c r="J62" s="6">
        <v>2041</v>
      </c>
      <c r="K62" s="42">
        <f t="shared" si="12"/>
        <v>1.2633333333333345E-7</v>
      </c>
      <c r="M62" s="6">
        <v>2041</v>
      </c>
      <c r="N62" s="42">
        <f t="shared" si="11"/>
        <v>1.2481733333333345E-7</v>
      </c>
    </row>
    <row r="63" spans="2:14">
      <c r="B63" s="6">
        <v>2042</v>
      </c>
      <c r="C63" s="3" cm="1">
        <f t="array" ref="C63">_xlfn.IFS($C$5="Low",'Pop FCST'!$C50,$C$5="Medium",'Pop FCST'!$D50,$C$5="High",'Pop FCST'!$E50)</f>
        <v>7431759.0652185399</v>
      </c>
      <c r="D63" s="16">
        <f t="shared" si="6"/>
        <v>1.2448800000000013E-7</v>
      </c>
      <c r="E63" s="5">
        <f t="shared" si="7"/>
        <v>337.68516021648821</v>
      </c>
      <c r="F63" s="16">
        <f t="shared" si="8"/>
        <v>8.6612602482073656E-8</v>
      </c>
      <c r="G63" s="5">
        <f t="shared" si="9"/>
        <v>234.94465768528707</v>
      </c>
      <c r="H63" s="26">
        <f t="shared" si="5"/>
        <v>572.62981790177525</v>
      </c>
      <c r="J63" s="6">
        <v>2042</v>
      </c>
      <c r="K63" s="42">
        <f t="shared" si="12"/>
        <v>1.2600000000000012E-7</v>
      </c>
      <c r="M63" s="6">
        <v>2042</v>
      </c>
      <c r="N63" s="42">
        <f t="shared" si="11"/>
        <v>1.2448800000000013E-7</v>
      </c>
    </row>
    <row r="64" spans="2:14">
      <c r="B64" s="6">
        <v>2043</v>
      </c>
      <c r="C64" s="3" cm="1">
        <f t="array" ref="C64">_xlfn.IFS($C$5="Low",'Pop FCST'!$C51,$C$5="Medium",'Pop FCST'!$D51,$C$5="High",'Pop FCST'!$E51)</f>
        <v>7518240.434114201</v>
      </c>
      <c r="D64" s="16">
        <f t="shared" si="6"/>
        <v>1.2415866666666678E-7</v>
      </c>
      <c r="E64" s="5">
        <f t="shared" si="7"/>
        <v>340.71096841235004</v>
      </c>
      <c r="F64" s="16">
        <f t="shared" si="8"/>
        <v>8.6383468613073451E-8</v>
      </c>
      <c r="G64" s="5">
        <f t="shared" si="9"/>
        <v>237.04986559653301</v>
      </c>
      <c r="H64" s="26">
        <f t="shared" si="5"/>
        <v>577.76083400888308</v>
      </c>
      <c r="J64" s="6">
        <v>2043</v>
      </c>
      <c r="K64" s="42">
        <f t="shared" si="12"/>
        <v>1.256666666666668E-7</v>
      </c>
      <c r="M64" s="6">
        <v>2043</v>
      </c>
      <c r="N64" s="42">
        <f t="shared" si="11"/>
        <v>1.2415866666666678E-7</v>
      </c>
    </row>
    <row r="65" spans="2:22">
      <c r="B65" s="6">
        <v>2044</v>
      </c>
      <c r="C65" s="3" cm="1">
        <f t="array" ref="C65">_xlfn.IFS($C$5="Low",'Pop FCST'!$C52,$C$5="Medium",'Pop FCST'!$D52,$C$5="High",'Pop FCST'!$E52)</f>
        <v>7605379.0614134697</v>
      </c>
      <c r="D65" s="16">
        <f t="shared" si="6"/>
        <v>1.2382933333333346E-7</v>
      </c>
      <c r="E65" s="5">
        <f t="shared" si="7"/>
        <v>343.74569190657502</v>
      </c>
      <c r="F65" s="16">
        <f t="shared" si="8"/>
        <v>8.6154334744073272E-8</v>
      </c>
      <c r="G65" s="5">
        <f t="shared" si="9"/>
        <v>239.1612763320924</v>
      </c>
      <c r="H65" s="26">
        <f t="shared" si="5"/>
        <v>582.90696823866745</v>
      </c>
      <c r="J65" s="6">
        <v>2044</v>
      </c>
      <c r="K65" s="42">
        <f t="shared" si="12"/>
        <v>1.2533333333333348E-7</v>
      </c>
      <c r="M65" s="6">
        <v>2044</v>
      </c>
      <c r="N65" s="42">
        <f t="shared" si="11"/>
        <v>1.2382933333333346E-7</v>
      </c>
    </row>
    <row r="66" spans="2:22">
      <c r="B66" s="6">
        <v>2045</v>
      </c>
      <c r="C66" s="3" cm="1">
        <f t="array" ref="C66">_xlfn.IFS($C$5="Low",'Pop FCST'!$C53,$C$5="Medium",'Pop FCST'!$D53,$C$5="High",'Pop FCST'!$E53)</f>
        <v>7693179.9422802124</v>
      </c>
      <c r="D66" s="16">
        <f t="shared" si="6"/>
        <v>1.2350000000000015E-7</v>
      </c>
      <c r="E66" s="5">
        <f t="shared" si="7"/>
        <v>346.7893188481367</v>
      </c>
      <c r="F66" s="16">
        <f t="shared" si="8"/>
        <v>8.5925200875073081E-8</v>
      </c>
      <c r="G66" s="5">
        <f t="shared" si="9"/>
        <v>241.27888164660629</v>
      </c>
      <c r="H66" s="26">
        <f t="shared" si="5"/>
        <v>588.068200494743</v>
      </c>
      <c r="J66" s="6">
        <v>2045</v>
      </c>
      <c r="K66" s="42">
        <f t="shared" si="12"/>
        <v>1.2500000000000015E-7</v>
      </c>
      <c r="M66" s="6">
        <v>2045</v>
      </c>
      <c r="N66" s="42">
        <f t="shared" si="11"/>
        <v>1.2350000000000015E-7</v>
      </c>
    </row>
    <row r="67" spans="2:22">
      <c r="B67" s="6">
        <v>2046</v>
      </c>
      <c r="C67" s="3" cm="1">
        <f t="array" ref="C67">_xlfn.IFS($C$5="Low",'Pop FCST'!$C54,$C$5="Medium",'Pop FCST'!$D54,$C$5="High",'Pop FCST'!$E54)</f>
        <v>7781648.1098415423</v>
      </c>
      <c r="D67" s="16">
        <f t="shared" si="6"/>
        <v>1.2317066666666683E-7</v>
      </c>
      <c r="E67" s="5">
        <f t="shared" si="7"/>
        <v>349.84183669092556</v>
      </c>
      <c r="F67" s="16">
        <f t="shared" si="8"/>
        <v>8.5696067006072889E-8</v>
      </c>
      <c r="G67" s="5">
        <f t="shared" si="9"/>
        <v>243.40267281111136</v>
      </c>
      <c r="H67" s="26">
        <f t="shared" si="5"/>
        <v>593.24450950203686</v>
      </c>
      <c r="J67" s="6">
        <v>2046</v>
      </c>
      <c r="K67" s="42">
        <f t="shared" si="12"/>
        <v>1.2466666666666683E-7</v>
      </c>
      <c r="M67" s="6">
        <v>2046</v>
      </c>
      <c r="N67" s="42">
        <f t="shared" si="11"/>
        <v>1.2317066666666683E-7</v>
      </c>
    </row>
    <row r="68" spans="2:22">
      <c r="B68" s="6">
        <v>2047</v>
      </c>
      <c r="C68" s="3" cm="1">
        <f t="array" ref="C68">_xlfn.IFS($C$5="Low",'Pop FCST'!$C55,$C$5="Medium",'Pop FCST'!$D55,$C$5="High",'Pop FCST'!$E55)</f>
        <v>7870788.6354763387</v>
      </c>
      <c r="D68" s="16">
        <f t="shared" si="6"/>
        <v>1.2284133333333351E-7</v>
      </c>
      <c r="E68" s="5">
        <f t="shared" si="7"/>
        <v>352.90323218386817</v>
      </c>
      <c r="F68" s="16">
        <f t="shared" si="8"/>
        <v>8.5466933137072723E-8</v>
      </c>
      <c r="G68" s="5">
        <f t="shared" si="9"/>
        <v>245.53264060616513</v>
      </c>
      <c r="H68" s="26">
        <f t="shared" si="5"/>
        <v>598.43587279003327</v>
      </c>
      <c r="J68" s="6">
        <v>2047</v>
      </c>
      <c r="K68" s="42">
        <f t="shared" si="12"/>
        <v>1.2433333333333351E-7</v>
      </c>
      <c r="M68" s="6">
        <v>2047</v>
      </c>
      <c r="N68" s="42">
        <f t="shared" si="11"/>
        <v>1.2284133333333351E-7</v>
      </c>
      <c r="V68" s="11"/>
    </row>
    <row r="69" spans="2:22">
      <c r="B69" s="6">
        <v>2048</v>
      </c>
      <c r="C69" s="3" cm="1">
        <f t="array" ref="C69">_xlfn.IFS($C$5="Low",'Pop FCST'!$C56,$C$5="Medium",'Pop FCST'!$D56,$C$5="High",'Pop FCST'!$E56)</f>
        <v>7960606.6291059591</v>
      </c>
      <c r="D69" s="16">
        <f t="shared" si="6"/>
        <v>1.2251200000000019E-7</v>
      </c>
      <c r="E69" s="5">
        <f t="shared" si="7"/>
        <v>355.97349136093624</v>
      </c>
      <c r="F69" s="16">
        <f t="shared" si="8"/>
        <v>8.5237799268072532E-8</v>
      </c>
      <c r="G69" s="5">
        <f t="shared" si="9"/>
        <v>247.66877531489476</v>
      </c>
      <c r="H69" s="26">
        <f t="shared" si="5"/>
        <v>603.64226667583102</v>
      </c>
      <c r="J69" s="6">
        <v>2048</v>
      </c>
      <c r="K69" s="42">
        <f t="shared" si="12"/>
        <v>1.2400000000000018E-7</v>
      </c>
      <c r="M69" s="6">
        <v>2048</v>
      </c>
      <c r="N69" s="42">
        <f t="shared" si="11"/>
        <v>1.2251200000000019E-7</v>
      </c>
      <c r="V69" s="11"/>
    </row>
    <row r="70" spans="2:22">
      <c r="B70" s="6">
        <v>2049</v>
      </c>
      <c r="C70" s="3" cm="1">
        <f t="array" ref="C70">_xlfn.IFS($C$5="Low",'Pop FCST'!$C57,$C$5="Medium",'Pop FCST'!$D57,$C$5="High",'Pop FCST'!$E57)</f>
        <v>8051107.2394871647</v>
      </c>
      <c r="D70" s="16">
        <f t="shared" si="6"/>
        <v>1.2218266666666685E-7</v>
      </c>
      <c r="E70" s="5">
        <f t="shared" si="7"/>
        <v>359.05259953104473</v>
      </c>
      <c r="F70" s="16">
        <f t="shared" si="8"/>
        <v>8.5008665399072326E-8</v>
      </c>
      <c r="G70" s="5">
        <f t="shared" si="9"/>
        <v>249.81106671596885</v>
      </c>
      <c r="H70" s="26">
        <f t="shared" si="5"/>
        <v>608.86366624701361</v>
      </c>
      <c r="J70" s="6">
        <v>2049</v>
      </c>
      <c r="K70" s="42">
        <f t="shared" si="12"/>
        <v>1.2366666666666686E-7</v>
      </c>
      <c r="M70" s="6">
        <v>2049</v>
      </c>
      <c r="N70" s="42">
        <f t="shared" si="11"/>
        <v>1.2218266666666685E-7</v>
      </c>
      <c r="V70" s="11"/>
    </row>
    <row r="71" spans="2:22">
      <c r="B71" s="6">
        <v>2050</v>
      </c>
      <c r="C71" s="3" cm="1">
        <f t="array" ref="C71">_xlfn.IFS($C$5="Low",'Pop FCST'!$C58,$C$5="Medium",'Pop FCST'!$D58,$C$5="High",'Pop FCST'!$E58)</f>
        <v>8142295.6545072673</v>
      </c>
      <c r="D71" s="16">
        <f t="shared" si="6"/>
        <v>1.2185333333333353E-7</v>
      </c>
      <c r="E71" s="5">
        <f t="shared" si="7"/>
        <v>362.14054126783793</v>
      </c>
      <c r="F71" s="16">
        <f t="shared" si="8"/>
        <v>8.4779531530072148E-8</v>
      </c>
      <c r="G71" s="5">
        <f t="shared" si="9"/>
        <v>251.95950407649093</v>
      </c>
      <c r="H71" s="26">
        <f t="shared" si="5"/>
        <v>614.10004534432892</v>
      </c>
      <c r="J71" s="6">
        <v>2050</v>
      </c>
      <c r="K71" s="42">
        <f t="shared" si="12"/>
        <v>1.2333333333333354E-7</v>
      </c>
      <c r="M71" s="6">
        <v>2050</v>
      </c>
      <c r="N71" s="42">
        <f t="shared" si="11"/>
        <v>1.2185333333333353E-7</v>
      </c>
      <c r="V71" s="11"/>
    </row>
    <row r="72" spans="2:22">
      <c r="B72" s="6">
        <v>2051</v>
      </c>
      <c r="C72" s="3" cm="1">
        <f t="array" ref="C72">_xlfn.IFS($C$5="Low",'Pop FCST'!$C59,$C$5="Medium",'Pop FCST'!$D59,$C$5="High",'Pop FCST'!$E59)</f>
        <v>8234177.1014815234</v>
      </c>
      <c r="D72" s="16">
        <f t="shared" si="6"/>
        <v>1.2152400000000021E-7</v>
      </c>
      <c r="E72" s="5">
        <f t="shared" si="7"/>
        <v>365.23730039936152</v>
      </c>
      <c r="F72" s="16">
        <f t="shared" si="8"/>
        <v>8.4550397661071956E-8</v>
      </c>
      <c r="G72" s="5">
        <f t="shared" si="9"/>
        <v>254.11407614481379</v>
      </c>
      <c r="H72" s="26">
        <f t="shared" si="5"/>
        <v>619.35137654417531</v>
      </c>
      <c r="J72" s="6">
        <v>2051</v>
      </c>
      <c r="K72" s="42">
        <f t="shared" si="12"/>
        <v>1.2300000000000021E-7</v>
      </c>
      <c r="M72" s="6">
        <v>2051</v>
      </c>
      <c r="N72" s="42">
        <f t="shared" si="11"/>
        <v>1.2152400000000021E-7</v>
      </c>
      <c r="R72" s="7"/>
      <c r="S72" s="7"/>
      <c r="U72" s="7"/>
    </row>
    <row r="73" spans="2:22">
      <c r="B73" s="6">
        <v>2052</v>
      </c>
      <c r="C73" s="3" cm="1">
        <f t="array" ref="C73">_xlfn.IFS($C$5="Low",'Pop FCST'!$C60,$C$5="Medium",'Pop FCST'!$D60,$C$5="High",'Pop FCST'!$E60)</f>
        <v>8326756.847452783</v>
      </c>
      <c r="D73" s="16">
        <f t="shared" si="6"/>
        <v>1.2119466666666689E-7</v>
      </c>
      <c r="E73" s="5">
        <f t="shared" si="7"/>
        <v>368.34285999762056</v>
      </c>
      <c r="F73" s="16">
        <f t="shared" si="8"/>
        <v>8.4321263792071764E-8</v>
      </c>
      <c r="G73" s="5">
        <f t="shared" si="9"/>
        <v>256.27477114327468</v>
      </c>
      <c r="H73" s="26">
        <f t="shared" si="5"/>
        <v>624.61763114089524</v>
      </c>
      <c r="J73" s="6">
        <v>2052</v>
      </c>
      <c r="K73" s="42">
        <f t="shared" si="12"/>
        <v>1.2266666666666689E-7</v>
      </c>
      <c r="M73" s="6">
        <v>2052</v>
      </c>
      <c r="N73" s="42">
        <f t="shared" si="11"/>
        <v>1.2119466666666689E-7</v>
      </c>
      <c r="S73" s="12"/>
      <c r="U73" s="7"/>
    </row>
    <row r="74" spans="2:22">
      <c r="B74" s="6">
        <v>2053</v>
      </c>
      <c r="C74" s="3" cm="1">
        <f t="array" ref="C74">_xlfn.IFS($C$5="Low",'Pop FCST'!$C61,$C$5="Medium",'Pop FCST'!$D61,$C$5="High",'Pop FCST'!$E61)</f>
        <v>8420040.199493425</v>
      </c>
      <c r="D74" s="16">
        <f t="shared" si="6"/>
        <v>1.2086533333333357E-7</v>
      </c>
      <c r="E74" s="5">
        <f t="shared" si="7"/>
        <v>371.45720236802208</v>
      </c>
      <c r="F74" s="16">
        <f t="shared" si="8"/>
        <v>8.4092129923071599E-8</v>
      </c>
      <c r="G74" s="5">
        <f t="shared" si="9"/>
        <v>258.44157676084967</v>
      </c>
      <c r="H74" s="26">
        <f t="shared" si="5"/>
        <v>629.89877912887175</v>
      </c>
      <c r="J74" s="6">
        <v>2053</v>
      </c>
      <c r="K74" s="42">
        <f t="shared" si="12"/>
        <v>1.2233333333333357E-7</v>
      </c>
      <c r="M74" s="6">
        <v>2053</v>
      </c>
      <c r="N74" s="42">
        <f t="shared" si="11"/>
        <v>1.2086533333333357E-7</v>
      </c>
      <c r="U74" s="7"/>
    </row>
    <row r="75" spans="2:22">
      <c r="B75" s="6">
        <v>2054</v>
      </c>
      <c r="C75" s="3" cm="1">
        <f t="array" ref="C75">_xlfn.IFS($C$5="Low",'Pop FCST'!$C62,$C$5="Medium",'Pop FCST'!$D62,$C$5="High",'Pop FCST'!$E62)</f>
        <v>8514032.5050095748</v>
      </c>
      <c r="D75" s="16">
        <f t="shared" si="6"/>
        <v>1.2053600000000025E-7</v>
      </c>
      <c r="E75" s="5">
        <f t="shared" si="7"/>
        <v>374.58030903870025</v>
      </c>
      <c r="F75" s="16">
        <f t="shared" si="8"/>
        <v>8.3862996054071407E-8</v>
      </c>
      <c r="G75" s="5">
        <f t="shared" si="9"/>
        <v>260.61448014572659</v>
      </c>
      <c r="H75" s="26">
        <f t="shared" si="5"/>
        <v>635.19478918442678</v>
      </c>
      <c r="J75" s="6">
        <v>2054</v>
      </c>
      <c r="K75" s="42">
        <f t="shared" si="12"/>
        <v>1.2200000000000025E-7</v>
      </c>
      <c r="M75" s="6">
        <v>2054</v>
      </c>
      <c r="N75" s="42">
        <f t="shared" si="11"/>
        <v>1.2053600000000025E-7</v>
      </c>
      <c r="U75" s="7"/>
    </row>
    <row r="76" spans="2:22">
      <c r="B76" s="6">
        <v>2055</v>
      </c>
      <c r="C76" s="3" cm="1">
        <f t="array" ref="C76">_xlfn.IFS($C$5="Low",'Pop FCST'!$C63,$C$5="Medium",'Pop FCST'!$D63,$C$5="High",'Pop FCST'!$E63)</f>
        <v>8608739.1520476472</v>
      </c>
      <c r="D76" s="16">
        <f t="shared" si="6"/>
        <v>1.2020666666666691E-7</v>
      </c>
      <c r="E76" s="5">
        <f t="shared" si="7"/>
        <v>377.71216074972381</v>
      </c>
      <c r="F76" s="16">
        <f t="shared" si="8"/>
        <v>8.3633862185071202E-8</v>
      </c>
      <c r="G76" s="5">
        <f t="shared" si="9"/>
        <v>262.79346789779657</v>
      </c>
      <c r="H76" s="26">
        <f t="shared" si="5"/>
        <v>640.50562864752033</v>
      </c>
      <c r="J76" s="6">
        <v>2055</v>
      </c>
      <c r="K76" s="42">
        <f t="shared" si="12"/>
        <v>1.2166666666666692E-7</v>
      </c>
      <c r="M76" s="6">
        <v>2055</v>
      </c>
      <c r="N76" s="42">
        <f t="shared" si="11"/>
        <v>1.2020666666666691E-7</v>
      </c>
      <c r="U76" s="7"/>
    </row>
    <row r="77" spans="2:22">
      <c r="B77" s="6">
        <v>2056</v>
      </c>
      <c r="C77" s="3" cm="1">
        <f t="array" ref="C77">_xlfn.IFS($C$5="Low",'Pop FCST'!$C64,$C$5="Medium",'Pop FCST'!$D64,$C$5="High",'Pop FCST'!$E64)</f>
        <v>8704165.5696032103</v>
      </c>
      <c r="D77" s="16">
        <f t="shared" si="6"/>
        <v>1.1987733333333359E-7</v>
      </c>
      <c r="E77" s="5">
        <f t="shared" si="7"/>
        <v>380.852737442185</v>
      </c>
      <c r="F77" s="16">
        <f t="shared" si="8"/>
        <v>8.3404728316071023E-8</v>
      </c>
      <c r="G77" s="5">
        <f t="shared" si="9"/>
        <v>264.97852606106221</v>
      </c>
      <c r="H77" s="26">
        <f t="shared" si="5"/>
        <v>645.83126350324721</v>
      </c>
      <c r="J77" s="6">
        <v>2056</v>
      </c>
      <c r="K77" s="42">
        <f t="shared" si="12"/>
        <v>1.213333333333336E-7</v>
      </c>
      <c r="M77" s="6">
        <v>2056</v>
      </c>
      <c r="N77" s="42">
        <f t="shared" si="11"/>
        <v>1.1987733333333359E-7</v>
      </c>
      <c r="U77" s="7"/>
    </row>
    <row r="78" spans="2:22">
      <c r="B78" s="6">
        <v>2057</v>
      </c>
      <c r="C78" s="3" cm="1">
        <f t="array" ref="C78">_xlfn.IFS($C$5="Low",'Pop FCST'!$C65,$C$5="Medium",'Pop FCST'!$D65,$C$5="High",'Pop FCST'!$E65)</f>
        <v>8800317.2279321942</v>
      </c>
      <c r="D78" s="16">
        <f t="shared" si="6"/>
        <v>1.1954800000000027E-7</v>
      </c>
      <c r="E78" s="5">
        <f t="shared" si="7"/>
        <v>384.00201824716669</v>
      </c>
      <c r="F78" s="16">
        <f t="shared" si="8"/>
        <v>8.3175594447070831E-8</v>
      </c>
      <c r="G78" s="5">
        <f t="shared" si="9"/>
        <v>267.16964011596144</v>
      </c>
      <c r="H78" s="26">
        <f t="shared" si="5"/>
        <v>651.17165836312813</v>
      </c>
      <c r="J78" s="6">
        <v>2057</v>
      </c>
      <c r="K78" s="42">
        <f t="shared" si="12"/>
        <v>1.2100000000000028E-7</v>
      </c>
      <c r="M78" s="6">
        <v>2057</v>
      </c>
      <c r="N78" s="42">
        <f t="shared" si="11"/>
        <v>1.1954800000000027E-7</v>
      </c>
      <c r="U78" s="7"/>
    </row>
    <row r="79" spans="2:22">
      <c r="B79" s="6">
        <v>2058</v>
      </c>
      <c r="C79" s="3" cm="1">
        <f t="array" ref="C79">_xlfn.IFS($C$5="Low",'Pop FCST'!$C66,$C$5="Medium",'Pop FCST'!$D66,$C$5="High",'Pop FCST'!$E66)</f>
        <v>8897199.63886448</v>
      </c>
      <c r="D79" s="16">
        <f t="shared" si="6"/>
        <v>1.1921866666666695E-7</v>
      </c>
      <c r="E79" s="5">
        <f t="shared" si="7"/>
        <v>387.15998147458947</v>
      </c>
      <c r="F79" s="16">
        <f t="shared" si="8"/>
        <v>8.294646057807064E-8</v>
      </c>
      <c r="G79" s="5">
        <f t="shared" si="9"/>
        <v>269.36679497160839</v>
      </c>
      <c r="H79" s="26">
        <f t="shared" si="5"/>
        <v>656.5267764461978</v>
      </c>
      <c r="J79" s="6">
        <v>2058</v>
      </c>
      <c r="K79" s="42">
        <f t="shared" si="12"/>
        <v>1.2066666666666695E-7</v>
      </c>
      <c r="M79" s="6">
        <v>2058</v>
      </c>
      <c r="N79" s="42">
        <f t="shared" si="11"/>
        <v>1.1921866666666695E-7</v>
      </c>
      <c r="U79" s="7"/>
    </row>
    <row r="80" spans="2:22">
      <c r="B80" s="6">
        <v>2059</v>
      </c>
      <c r="C80" s="3" cm="1">
        <f t="array" ref="C80">_xlfn.IFS($C$5="Low",'Pop FCST'!$C67,$C$5="Medium",'Pop FCST'!$D67,$C$5="High",'Pop FCST'!$E67)</f>
        <v>8994818.3561198507</v>
      </c>
      <c r="D80" s="16">
        <f t="shared" si="6"/>
        <v>1.1888933333333362E-7</v>
      </c>
      <c r="E80" s="5">
        <f t="shared" si="7"/>
        <v>390.32660460193512</v>
      </c>
      <c r="F80" s="16">
        <f t="shared" si="8"/>
        <v>8.2717326709070461E-8</v>
      </c>
      <c r="G80" s="5">
        <f t="shared" si="9"/>
        <v>271.56997495794707</v>
      </c>
      <c r="H80" s="26">
        <f t="shared" si="5"/>
        <v>661.89657955988218</v>
      </c>
      <c r="J80" s="6">
        <v>2059</v>
      </c>
      <c r="K80" s="42">
        <f t="shared" si="12"/>
        <v>1.2033333333333363E-7</v>
      </c>
      <c r="M80" s="6">
        <v>2059</v>
      </c>
      <c r="N80" s="42">
        <f t="shared" si="11"/>
        <v>1.1888933333333362E-7</v>
      </c>
      <c r="U80" s="7"/>
    </row>
    <row r="81" spans="2:21">
      <c r="B81" s="6">
        <v>2060</v>
      </c>
      <c r="C81" s="3" cm="1">
        <f t="array" ref="C81">_xlfn.IFS($C$5="Low",'Pop FCST'!$C68,$C$5="Medium",'Pop FCST'!$D68,$C$5="High",'Pop FCST'!$E68)</f>
        <v>9093178.9756263625</v>
      </c>
      <c r="D81" s="16">
        <f t="shared" si="6"/>
        <v>1.1855999999999998E-7</v>
      </c>
      <c r="E81" s="5">
        <f t="shared" si="7"/>
        <v>393.50186426284546</v>
      </c>
      <c r="F81" s="16">
        <f t="shared" si="8"/>
        <v>8.2488192840070057E-8</v>
      </c>
      <c r="G81" s="5">
        <f t="shared" si="9"/>
        <v>273.77916381781938</v>
      </c>
      <c r="H81" s="26">
        <f t="shared" si="5"/>
        <v>667.28102808066478</v>
      </c>
      <c r="J81" s="6">
        <v>2060</v>
      </c>
      <c r="K81" s="53">
        <f>C11</f>
        <v>1.1999999999999999E-7</v>
      </c>
      <c r="M81" s="6">
        <v>2060</v>
      </c>
      <c r="N81" s="42">
        <f t="shared" si="11"/>
        <v>1.1855999999999998E-7</v>
      </c>
      <c r="U81" s="7"/>
    </row>
    <row r="82" spans="2:21">
      <c r="B82" s="6">
        <v>2061</v>
      </c>
      <c r="C82" s="3" cm="1">
        <f t="array" ref="C82">_xlfn.IFS($C$5="Low",'Pop FCST'!$C69,$C$5="Medium",'Pop FCST'!$D69,$C$5="High",'Pop FCST'!$E69)</f>
        <v>9192287.1358411238</v>
      </c>
      <c r="D82" s="16">
        <f t="shared" si="6"/>
        <v>1.1855999999999998E-7</v>
      </c>
      <c r="E82" s="5">
        <f>$C82*$D82*$C$6</f>
        <v>397.79071043124304</v>
      </c>
      <c r="F82" s="16">
        <f>(D82/$I$35)*$K$35</f>
        <v>8.2488192840070057E-8</v>
      </c>
      <c r="G82" s="5">
        <f>$C82*$F82*$C$6</f>
        <v>276.76313117443362</v>
      </c>
      <c r="H82" s="26">
        <f t="shared" si="5"/>
        <v>674.55384160567667</v>
      </c>
      <c r="J82" s="6">
        <v>2061</v>
      </c>
      <c r="K82" s="42">
        <f>$K$81</f>
        <v>1.1999999999999999E-7</v>
      </c>
      <c r="M82" s="6">
        <v>2061</v>
      </c>
      <c r="N82" s="42">
        <f t="shared" si="11"/>
        <v>1.1855999999999998E-7</v>
      </c>
      <c r="U82" s="7"/>
    </row>
    <row r="83" spans="2:21">
      <c r="B83" s="6">
        <v>2062</v>
      </c>
      <c r="C83" s="3" cm="1">
        <f t="array" ref="C83">_xlfn.IFS($C$5="Low",'Pop FCST'!$C70,$C$5="Medium",'Pop FCST'!$D70,$C$5="High",'Pop FCST'!$E70)</f>
        <v>9292148.518073516</v>
      </c>
      <c r="D83" s="16">
        <f t="shared" si="6"/>
        <v>1.1855999999999998E-7</v>
      </c>
      <c r="E83" s="5">
        <f t="shared" si="7"/>
        <v>402.11215183052053</v>
      </c>
      <c r="F83" s="16">
        <f t="shared" si="8"/>
        <v>8.2488192840070057E-8</v>
      </c>
      <c r="G83" s="5">
        <f t="shared" si="9"/>
        <v>279.76977668295808</v>
      </c>
      <c r="H83" s="26">
        <f t="shared" si="5"/>
        <v>681.88192851347867</v>
      </c>
      <c r="J83" s="6">
        <v>2062</v>
      </c>
      <c r="K83" s="42">
        <f t="shared" ref="K83:K86" si="13">$K$81</f>
        <v>1.1999999999999999E-7</v>
      </c>
      <c r="M83" s="6">
        <v>2062</v>
      </c>
      <c r="N83" s="42">
        <f t="shared" si="11"/>
        <v>1.1855999999999998E-7</v>
      </c>
      <c r="U83" s="7"/>
    </row>
    <row r="84" spans="2:21">
      <c r="B84" s="6">
        <v>2063</v>
      </c>
      <c r="C84" s="3" cm="1">
        <f t="array" ref="C84">_xlfn.IFS($C$5="Low",'Pop FCST'!$C71,$C$5="Medium",'Pop FCST'!$D71,$C$5="High",'Pop FCST'!$E71)</f>
        <v>9392768.8468108755</v>
      </c>
      <c r="D84" s="16">
        <f t="shared" si="6"/>
        <v>1.1855999999999998E-7</v>
      </c>
      <c r="E84" s="5">
        <f t="shared" si="7"/>
        <v>406.4664361844325</v>
      </c>
      <c r="F84" s="16">
        <f t="shared" si="8"/>
        <v>8.2488192840070057E-8</v>
      </c>
      <c r="G84" s="5">
        <f t="shared" si="9"/>
        <v>282.79927269734736</v>
      </c>
      <c r="H84" s="26">
        <f t="shared" si="5"/>
        <v>689.2657088817798</v>
      </c>
      <c r="J84" s="6">
        <v>2063</v>
      </c>
      <c r="K84" s="42">
        <f t="shared" si="13"/>
        <v>1.1999999999999999E-7</v>
      </c>
      <c r="M84" s="6">
        <v>2063</v>
      </c>
      <c r="N84" s="42">
        <f t="shared" si="11"/>
        <v>1.1855999999999998E-7</v>
      </c>
      <c r="U84" s="7"/>
    </row>
    <row r="85" spans="2:21">
      <c r="B85" s="6">
        <v>2064</v>
      </c>
      <c r="C85" s="3" cm="1">
        <f t="array" ref="C85">_xlfn.IFS($C$5="Low",'Pop FCST'!$C72,$C$5="Medium",'Pop FCST'!$D72,$C$5="High",'Pop FCST'!$E72)</f>
        <v>9494153.8900466394</v>
      </c>
      <c r="D85" s="16">
        <f t="shared" si="6"/>
        <v>1.1855999999999998E-7</v>
      </c>
      <c r="E85" s="5">
        <f t="shared" si="7"/>
        <v>410.85381309943426</v>
      </c>
      <c r="F85" s="16">
        <f t="shared" si="8"/>
        <v>8.2488192840070057E-8</v>
      </c>
      <c r="G85" s="5">
        <f t="shared" si="9"/>
        <v>285.85179288144599</v>
      </c>
      <c r="H85" s="26">
        <f t="shared" si="5"/>
        <v>696.70560598088025</v>
      </c>
      <c r="J85" s="6">
        <v>2064</v>
      </c>
      <c r="K85" s="42">
        <f t="shared" si="13"/>
        <v>1.1999999999999999E-7</v>
      </c>
      <c r="M85" s="6">
        <v>2064</v>
      </c>
      <c r="N85" s="42">
        <f t="shared" si="11"/>
        <v>1.1855999999999998E-7</v>
      </c>
      <c r="U85" s="7"/>
    </row>
    <row r="86" spans="2:21">
      <c r="B86" s="6">
        <v>2065</v>
      </c>
      <c r="C86" s="3" cm="1">
        <f t="array" ref="C86">_xlfn.IFS($C$5="Low",'Pop FCST'!$C73,$C$5="Medium",'Pop FCST'!$D73,$C$5="High",'Pop FCST'!$E73)</f>
        <v>9596309.4596109949</v>
      </c>
      <c r="D86" s="16">
        <f t="shared" si="6"/>
        <v>1.1855999999999998E-7</v>
      </c>
      <c r="E86" s="5">
        <f t="shared" si="7"/>
        <v>415.27453407899003</v>
      </c>
      <c r="F86" s="16">
        <f t="shared" si="8"/>
        <v>8.2488192840070057E-8</v>
      </c>
      <c r="G86" s="5">
        <f t="shared" si="9"/>
        <v>288.92751221894378</v>
      </c>
      <c r="H86" s="26">
        <f t="shared" si="5"/>
        <v>704.20204629793375</v>
      </c>
      <c r="J86" s="6">
        <v>2065</v>
      </c>
      <c r="K86" s="42">
        <f t="shared" si="13"/>
        <v>1.1999999999999999E-7</v>
      </c>
      <c r="M86" s="6">
        <v>2065</v>
      </c>
      <c r="N86" s="42">
        <f t="shared" si="11"/>
        <v>1.1855999999999998E-7</v>
      </c>
      <c r="U86" s="7"/>
    </row>
    <row r="87" spans="2:21">
      <c r="B87" s="7"/>
      <c r="C87" s="47"/>
      <c r="D87" s="48"/>
      <c r="E87" s="49"/>
      <c r="F87" s="48"/>
      <c r="G87" s="49"/>
      <c r="H87" s="49"/>
      <c r="J87" s="7"/>
      <c r="K87" s="45"/>
      <c r="M87" s="7"/>
      <c r="N87" s="45"/>
      <c r="U87" s="7"/>
    </row>
    <row r="88" spans="2:21" ht="42.75" customHeight="1">
      <c r="B88" s="7"/>
      <c r="C88" s="47"/>
      <c r="D88" s="48"/>
      <c r="E88" s="49"/>
      <c r="F88" s="48"/>
      <c r="G88" s="49"/>
      <c r="H88" s="49"/>
      <c r="J88" s="181" t="s">
        <v>83</v>
      </c>
      <c r="K88" s="181"/>
      <c r="L88" s="60"/>
      <c r="M88" s="60"/>
      <c r="N88" s="60"/>
      <c r="S88" s="7"/>
      <c r="U88" s="7"/>
    </row>
    <row r="89" spans="2:21">
      <c r="B89" s="7"/>
      <c r="C89" s="7"/>
      <c r="D89" s="7"/>
      <c r="E89" s="7"/>
      <c r="F89" s="7"/>
      <c r="G89" s="7"/>
      <c r="H89" s="7"/>
      <c r="I89" s="7"/>
      <c r="J89" s="7"/>
      <c r="K89" s="7"/>
      <c r="L89" s="7"/>
      <c r="M89" s="7"/>
      <c r="N89" s="7"/>
    </row>
    <row r="90" spans="2:21">
      <c r="B90" s="7"/>
      <c r="C90" s="7"/>
      <c r="D90" s="7"/>
      <c r="E90" s="7"/>
      <c r="F90" s="7"/>
      <c r="G90" s="7"/>
      <c r="H90" s="7"/>
      <c r="I90" s="7"/>
      <c r="J90" s="7"/>
      <c r="K90" s="7"/>
      <c r="L90" s="7"/>
      <c r="M90" s="7"/>
      <c r="N90" s="7"/>
    </row>
    <row r="91" spans="2:21">
      <c r="B91" s="7"/>
      <c r="C91" s="7"/>
      <c r="D91" s="7"/>
      <c r="E91" s="7"/>
      <c r="F91" s="7"/>
      <c r="G91" s="7"/>
      <c r="H91" s="7"/>
      <c r="I91" s="7"/>
      <c r="J91" s="7"/>
      <c r="K91" s="7"/>
      <c r="L91" s="7"/>
      <c r="M91" s="7"/>
      <c r="N91" s="7"/>
    </row>
    <row r="92" spans="2:21">
      <c r="B92" s="7"/>
      <c r="C92" s="7"/>
      <c r="D92" s="7"/>
      <c r="E92" s="7"/>
      <c r="F92" s="7"/>
      <c r="G92" s="7"/>
      <c r="H92" s="7"/>
      <c r="I92" s="7"/>
      <c r="J92" s="7"/>
      <c r="K92" s="7"/>
      <c r="L92" s="7"/>
      <c r="M92" s="7"/>
      <c r="N92" s="7"/>
    </row>
    <row r="93" spans="2:21">
      <c r="B93" s="7"/>
      <c r="C93" s="7"/>
      <c r="D93" s="7"/>
      <c r="E93" s="7"/>
      <c r="F93" s="7"/>
      <c r="G93" s="7"/>
      <c r="H93" s="7"/>
      <c r="I93" s="7"/>
      <c r="J93" s="7"/>
      <c r="K93" s="7"/>
      <c r="L93" s="7"/>
      <c r="M93" s="7"/>
      <c r="N93" s="7"/>
    </row>
    <row r="94" spans="2:21">
      <c r="B94" s="7"/>
      <c r="C94" s="7"/>
      <c r="D94" s="7"/>
      <c r="E94" s="7"/>
      <c r="F94" s="7"/>
      <c r="G94" s="7"/>
      <c r="H94" s="7"/>
      <c r="I94" s="7"/>
      <c r="J94" s="7"/>
      <c r="K94" s="7"/>
      <c r="L94" s="7"/>
      <c r="M94" s="7"/>
      <c r="N94" s="7"/>
    </row>
    <row r="95" spans="2:21">
      <c r="B95" s="7"/>
      <c r="C95" s="7"/>
      <c r="D95" s="7"/>
      <c r="E95" s="7"/>
      <c r="F95" s="7"/>
      <c r="G95" s="7"/>
      <c r="H95" s="7"/>
      <c r="I95" s="7"/>
      <c r="J95" s="7"/>
      <c r="K95" s="7"/>
      <c r="L95" s="7"/>
      <c r="M95" s="7"/>
      <c r="N95" s="7"/>
    </row>
    <row r="96" spans="2:21">
      <c r="B96" s="7"/>
      <c r="C96" s="7"/>
      <c r="D96" s="7"/>
      <c r="E96" s="7"/>
      <c r="F96" s="7"/>
      <c r="G96" s="7"/>
      <c r="H96" s="7"/>
      <c r="I96" s="7"/>
      <c r="J96" s="7"/>
      <c r="K96" s="7"/>
      <c r="L96" s="7"/>
      <c r="M96" s="7"/>
      <c r="N96" s="7"/>
    </row>
    <row r="97" spans="2:14">
      <c r="B97" s="7"/>
      <c r="C97" s="7"/>
      <c r="D97" s="7"/>
      <c r="E97" s="7"/>
      <c r="F97" s="7"/>
      <c r="G97" s="7"/>
      <c r="H97" s="7"/>
      <c r="I97" s="7"/>
      <c r="J97" s="7"/>
      <c r="K97" s="7"/>
      <c r="L97" s="7"/>
      <c r="M97" s="7"/>
      <c r="N97" s="7"/>
    </row>
    <row r="98" spans="2:14">
      <c r="B98" s="7"/>
      <c r="C98" s="7"/>
      <c r="D98" s="7"/>
      <c r="E98" s="7"/>
      <c r="F98" s="7"/>
      <c r="G98" s="7"/>
      <c r="H98" s="7"/>
      <c r="I98" s="7"/>
      <c r="J98" s="7"/>
      <c r="K98" s="7"/>
      <c r="L98" s="7"/>
      <c r="M98" s="7"/>
      <c r="N98" s="7"/>
    </row>
    <row r="99" spans="2:14">
      <c r="B99" s="7"/>
      <c r="C99" s="7"/>
      <c r="D99" s="7"/>
      <c r="E99" s="7"/>
      <c r="F99" s="7"/>
      <c r="G99" s="7"/>
      <c r="H99" s="7"/>
      <c r="I99" s="7"/>
      <c r="J99" s="7"/>
      <c r="K99" s="7"/>
      <c r="L99" s="7"/>
      <c r="M99" s="7"/>
      <c r="N99" s="7"/>
    </row>
    <row r="100" spans="2:14">
      <c r="B100" s="7"/>
      <c r="C100" s="7"/>
      <c r="D100" s="7"/>
      <c r="E100" s="7"/>
      <c r="F100" s="7"/>
      <c r="G100" s="7"/>
      <c r="H100" s="7"/>
      <c r="I100" s="7"/>
      <c r="J100" s="7"/>
      <c r="K100" s="7"/>
      <c r="L100" s="7"/>
      <c r="M100" s="7"/>
      <c r="N100" s="7"/>
    </row>
    <row r="101" spans="2:14">
      <c r="B101" s="7"/>
      <c r="C101" s="7"/>
      <c r="D101" s="7"/>
      <c r="E101" s="7"/>
      <c r="F101" s="7"/>
      <c r="G101" s="7"/>
      <c r="H101" s="7"/>
      <c r="I101" s="7"/>
      <c r="J101" s="7"/>
      <c r="K101" s="7"/>
      <c r="L101" s="7"/>
      <c r="M101" s="7"/>
      <c r="N101" s="7"/>
    </row>
    <row r="102" spans="2:14">
      <c r="B102" s="7"/>
      <c r="C102" s="7"/>
      <c r="D102" s="7"/>
      <c r="E102" s="7"/>
      <c r="F102" s="7"/>
      <c r="G102" s="7"/>
      <c r="H102" s="7"/>
      <c r="I102" s="7"/>
      <c r="J102" s="7"/>
      <c r="K102" s="7"/>
      <c r="L102" s="7"/>
      <c r="M102" s="7"/>
      <c r="N102" s="7"/>
    </row>
    <row r="103" spans="2:14">
      <c r="B103" s="7"/>
      <c r="C103" s="7"/>
      <c r="D103" s="7"/>
      <c r="E103" s="7"/>
      <c r="F103" s="7"/>
      <c r="G103" s="7"/>
      <c r="H103" s="7"/>
      <c r="I103" s="7"/>
      <c r="J103" s="7"/>
      <c r="K103" s="7"/>
      <c r="L103" s="7"/>
      <c r="M103" s="7"/>
      <c r="N103" s="7"/>
    </row>
    <row r="104" spans="2:14">
      <c r="B104" s="7"/>
      <c r="C104" s="7"/>
      <c r="D104" s="7"/>
      <c r="E104" s="7"/>
      <c r="F104" s="7"/>
      <c r="G104" s="7"/>
      <c r="H104" s="7"/>
      <c r="I104" s="7"/>
      <c r="J104" s="7"/>
      <c r="K104" s="7"/>
      <c r="L104" s="7"/>
      <c r="M104" s="7"/>
      <c r="N104" s="7"/>
    </row>
    <row r="105" spans="2:14">
      <c r="B105" s="7"/>
      <c r="C105" s="7"/>
      <c r="D105" s="7"/>
      <c r="E105" s="7"/>
      <c r="F105" s="7"/>
      <c r="G105" s="7"/>
      <c r="H105" s="7"/>
      <c r="I105" s="7"/>
      <c r="J105" s="7"/>
      <c r="K105" s="7"/>
      <c r="L105" s="7"/>
      <c r="M105" s="7"/>
      <c r="N105" s="7"/>
    </row>
    <row r="106" spans="2:14">
      <c r="B106" s="7"/>
      <c r="C106" s="7"/>
      <c r="D106" s="7"/>
      <c r="E106" s="7"/>
      <c r="F106" s="7"/>
      <c r="G106" s="7"/>
      <c r="H106" s="7"/>
      <c r="I106" s="7"/>
      <c r="J106" s="7"/>
      <c r="K106" s="7"/>
      <c r="L106" s="7"/>
      <c r="M106" s="7"/>
      <c r="N106" s="7"/>
    </row>
    <row r="107" spans="2:14">
      <c r="B107" s="7"/>
      <c r="C107" s="7"/>
      <c r="D107" s="7"/>
      <c r="E107" s="7"/>
      <c r="F107" s="7"/>
      <c r="G107" s="7"/>
      <c r="H107" s="7"/>
      <c r="I107" s="7"/>
      <c r="J107" s="7"/>
      <c r="K107" s="7"/>
      <c r="L107" s="7"/>
      <c r="M107" s="7"/>
      <c r="N107" s="7"/>
    </row>
    <row r="108" spans="2:14">
      <c r="B108" s="7"/>
      <c r="C108" s="7"/>
      <c r="D108" s="7"/>
      <c r="E108" s="7"/>
      <c r="F108" s="7"/>
      <c r="G108" s="7"/>
      <c r="H108" s="7"/>
      <c r="I108" s="7"/>
      <c r="J108" s="7"/>
      <c r="K108" s="7"/>
      <c r="L108" s="7"/>
      <c r="M108" s="7"/>
      <c r="N108" s="7"/>
    </row>
    <row r="109" spans="2:14">
      <c r="B109" s="7"/>
      <c r="C109" s="7"/>
      <c r="D109" s="7"/>
      <c r="E109" s="7"/>
      <c r="F109" s="7"/>
      <c r="G109" s="7"/>
      <c r="H109" s="7"/>
      <c r="I109" s="7"/>
      <c r="J109" s="7"/>
      <c r="K109" s="7"/>
      <c r="L109" s="7"/>
      <c r="M109" s="7"/>
      <c r="N109" s="7"/>
    </row>
    <row r="110" spans="2:14">
      <c r="B110" s="7"/>
      <c r="C110" s="7"/>
      <c r="D110" s="7"/>
      <c r="E110" s="7"/>
      <c r="F110" s="7"/>
      <c r="G110" s="7"/>
      <c r="H110" s="7"/>
      <c r="I110" s="7"/>
      <c r="J110" s="7"/>
      <c r="K110" s="7"/>
      <c r="L110" s="7"/>
      <c r="M110" s="7"/>
      <c r="N110" s="7"/>
    </row>
    <row r="111" spans="2:14">
      <c r="B111" s="7"/>
      <c r="C111" s="7"/>
      <c r="D111" s="7"/>
      <c r="E111" s="7"/>
      <c r="F111" s="7"/>
      <c r="G111" s="7"/>
      <c r="H111" s="7"/>
      <c r="I111" s="7"/>
      <c r="J111" s="7"/>
      <c r="K111" s="7"/>
      <c r="L111" s="7"/>
      <c r="M111" s="7"/>
      <c r="N111" s="7"/>
    </row>
    <row r="112" spans="2:14">
      <c r="B112" s="7"/>
      <c r="C112" s="7"/>
      <c r="D112" s="7"/>
      <c r="E112" s="7"/>
      <c r="F112" s="7"/>
      <c r="G112" s="7"/>
      <c r="H112" s="7"/>
      <c r="I112" s="7"/>
      <c r="J112" s="7"/>
      <c r="K112" s="7"/>
      <c r="L112" s="7"/>
      <c r="M112" s="7"/>
      <c r="N112" s="7"/>
    </row>
    <row r="113" spans="2:14">
      <c r="B113" s="7"/>
      <c r="C113" s="7"/>
      <c r="D113" s="7"/>
      <c r="E113" s="7"/>
      <c r="F113" s="7"/>
      <c r="G113" s="7"/>
      <c r="H113" s="7"/>
      <c r="I113" s="7"/>
      <c r="J113" s="7"/>
      <c r="K113" s="7"/>
      <c r="L113" s="7"/>
      <c r="M113" s="7"/>
      <c r="N113" s="7"/>
    </row>
    <row r="114" spans="2:14">
      <c r="B114" s="7"/>
      <c r="C114" s="7"/>
      <c r="D114" s="7"/>
      <c r="E114" s="7"/>
      <c r="F114" s="7"/>
      <c r="G114" s="7"/>
      <c r="H114" s="7"/>
      <c r="I114" s="7"/>
      <c r="J114" s="7"/>
      <c r="K114" s="7"/>
      <c r="L114" s="7"/>
      <c r="M114" s="7"/>
      <c r="N114" s="7"/>
    </row>
    <row r="115" spans="2:14">
      <c r="B115" s="7"/>
      <c r="C115" s="7"/>
      <c r="D115" s="7"/>
      <c r="E115" s="7"/>
      <c r="F115" s="7"/>
      <c r="G115" s="7"/>
      <c r="H115" s="7"/>
      <c r="I115" s="7"/>
      <c r="J115" s="7"/>
      <c r="K115" s="7"/>
      <c r="L115" s="7"/>
      <c r="M115" s="7"/>
      <c r="N115" s="7"/>
    </row>
    <row r="116" spans="2:14">
      <c r="B116" s="7"/>
      <c r="C116" s="7"/>
      <c r="D116" s="7"/>
      <c r="E116" s="7"/>
      <c r="F116" s="7"/>
      <c r="G116" s="7"/>
      <c r="H116" s="7"/>
      <c r="I116" s="7"/>
      <c r="J116" s="7"/>
      <c r="K116" s="7"/>
      <c r="L116" s="7"/>
      <c r="M116" s="7"/>
      <c r="N116" s="7"/>
    </row>
    <row r="117" spans="2:14">
      <c r="B117" s="7"/>
      <c r="C117" s="7"/>
      <c r="D117" s="7"/>
      <c r="E117" s="7"/>
      <c r="F117" s="7"/>
      <c r="G117" s="7"/>
      <c r="H117" s="7"/>
      <c r="I117" s="7"/>
      <c r="J117" s="7"/>
      <c r="K117" s="7"/>
      <c r="L117" s="7"/>
      <c r="M117" s="7"/>
      <c r="N117" s="7"/>
    </row>
    <row r="118" spans="2:14">
      <c r="B118" s="7"/>
      <c r="C118" s="7"/>
      <c r="D118" s="7"/>
      <c r="E118" s="7"/>
      <c r="F118" s="7"/>
      <c r="G118" s="7"/>
      <c r="H118" s="7"/>
      <c r="I118" s="7"/>
      <c r="J118" s="7"/>
      <c r="K118" s="7"/>
      <c r="L118" s="7"/>
      <c r="M118" s="7"/>
      <c r="N118" s="7"/>
    </row>
    <row r="119" spans="2:14">
      <c r="B119" s="7"/>
      <c r="C119" s="7"/>
      <c r="D119" s="7"/>
      <c r="E119" s="7"/>
      <c r="F119" s="7"/>
      <c r="G119" s="7"/>
      <c r="H119" s="7"/>
      <c r="I119" s="7"/>
      <c r="J119" s="7"/>
      <c r="K119" s="7"/>
      <c r="L119" s="7"/>
      <c r="M119" s="7"/>
      <c r="N119" s="7"/>
    </row>
    <row r="120" spans="2:14">
      <c r="B120" s="7"/>
      <c r="C120" s="7"/>
      <c r="D120" s="7"/>
      <c r="E120" s="7"/>
      <c r="F120" s="7"/>
      <c r="G120" s="7"/>
      <c r="H120" s="7"/>
      <c r="I120" s="7"/>
      <c r="J120" s="7"/>
      <c r="K120" s="7"/>
      <c r="L120" s="7"/>
      <c r="M120" s="7"/>
      <c r="N120" s="7"/>
    </row>
    <row r="121" spans="2:14">
      <c r="B121" s="7"/>
      <c r="C121" s="7"/>
      <c r="D121" s="7"/>
      <c r="E121" s="7"/>
      <c r="F121" s="7"/>
      <c r="G121" s="7"/>
      <c r="H121" s="7"/>
      <c r="I121" s="7"/>
      <c r="J121" s="7"/>
      <c r="K121" s="7"/>
      <c r="L121" s="7"/>
      <c r="M121" s="7"/>
      <c r="N121" s="7"/>
    </row>
    <row r="122" spans="2:14">
      <c r="B122" s="7"/>
      <c r="C122" s="7"/>
      <c r="D122" s="7"/>
      <c r="E122" s="7"/>
      <c r="F122" s="7"/>
      <c r="G122" s="7"/>
      <c r="H122" s="7"/>
      <c r="I122" s="7"/>
      <c r="J122" s="7"/>
      <c r="K122" s="7"/>
      <c r="L122" s="7"/>
      <c r="M122" s="7"/>
      <c r="N122" s="7"/>
    </row>
    <row r="123" spans="2:14">
      <c r="B123" s="7"/>
      <c r="C123" s="7"/>
      <c r="D123" s="7"/>
      <c r="E123" s="7"/>
      <c r="F123" s="7"/>
      <c r="G123" s="7"/>
      <c r="H123" s="7"/>
      <c r="I123" s="7"/>
      <c r="J123" s="7"/>
      <c r="K123" s="7"/>
      <c r="L123" s="7"/>
      <c r="M123" s="7"/>
      <c r="N123" s="7"/>
    </row>
    <row r="124" spans="2:14">
      <c r="B124" s="7"/>
      <c r="C124" s="7"/>
      <c r="D124" s="7"/>
      <c r="E124" s="7"/>
      <c r="F124" s="7"/>
      <c r="G124" s="7"/>
      <c r="H124" s="7"/>
      <c r="I124" s="7"/>
      <c r="J124" s="7"/>
      <c r="K124" s="7"/>
      <c r="L124" s="7"/>
      <c r="M124" s="7"/>
      <c r="N124" s="7"/>
    </row>
    <row r="125" spans="2:14">
      <c r="B125" s="7"/>
      <c r="C125" s="7"/>
      <c r="D125" s="7"/>
      <c r="E125" s="7"/>
      <c r="F125" s="7"/>
      <c r="G125" s="7"/>
      <c r="H125" s="7"/>
      <c r="I125" s="7"/>
      <c r="J125" s="7"/>
      <c r="K125" s="7"/>
      <c r="L125" s="7"/>
      <c r="M125" s="7"/>
      <c r="N125" s="7"/>
    </row>
    <row r="126" spans="2:14">
      <c r="B126" s="7"/>
      <c r="C126" s="7"/>
      <c r="D126" s="7"/>
      <c r="E126" s="7"/>
      <c r="F126" s="7"/>
      <c r="G126" s="7"/>
      <c r="H126" s="7"/>
      <c r="I126" s="7"/>
      <c r="J126" s="7"/>
      <c r="K126" s="7"/>
      <c r="L126" s="7"/>
      <c r="M126" s="7"/>
      <c r="N126" s="7"/>
    </row>
    <row r="127" spans="2:14">
      <c r="B127" s="7"/>
      <c r="C127" s="7"/>
      <c r="D127" s="7"/>
      <c r="E127" s="7"/>
      <c r="F127" s="7"/>
      <c r="G127" s="7"/>
      <c r="H127" s="7"/>
      <c r="I127" s="7"/>
      <c r="J127" s="7"/>
      <c r="K127" s="7"/>
      <c r="L127" s="7"/>
      <c r="M127" s="7"/>
      <c r="N127" s="7"/>
    </row>
    <row r="128" spans="2:14">
      <c r="B128" s="7"/>
      <c r="C128" s="7"/>
      <c r="D128" s="7"/>
      <c r="E128" s="7"/>
      <c r="F128" s="7"/>
      <c r="G128" s="7"/>
      <c r="H128" s="7"/>
      <c r="I128" s="7"/>
      <c r="J128" s="7"/>
      <c r="K128" s="7"/>
      <c r="L128" s="7"/>
      <c r="M128" s="7"/>
      <c r="N128" s="7"/>
    </row>
    <row r="129" spans="2:14">
      <c r="B129" s="7"/>
      <c r="C129" s="7"/>
      <c r="D129" s="7"/>
      <c r="E129" s="7"/>
      <c r="F129" s="7"/>
      <c r="G129" s="7"/>
      <c r="H129" s="7"/>
      <c r="I129" s="7"/>
      <c r="J129" s="7"/>
      <c r="K129" s="7"/>
      <c r="L129" s="7"/>
      <c r="M129" s="7"/>
      <c r="N129" s="7"/>
    </row>
    <row r="130" spans="2:14">
      <c r="B130" s="7"/>
      <c r="C130" s="7"/>
      <c r="D130" s="7"/>
      <c r="E130" s="7"/>
      <c r="F130" s="7"/>
      <c r="G130" s="7"/>
      <c r="H130" s="7"/>
      <c r="I130" s="7"/>
      <c r="J130" s="7"/>
      <c r="K130" s="7"/>
      <c r="L130" s="7"/>
      <c r="M130" s="7"/>
      <c r="N130" s="7"/>
    </row>
    <row r="131" spans="2:14">
      <c r="B131" s="7"/>
      <c r="C131" s="7"/>
      <c r="D131" s="7"/>
      <c r="E131" s="7"/>
      <c r="F131" s="7"/>
      <c r="G131" s="7"/>
      <c r="H131" s="7"/>
      <c r="I131" s="7"/>
      <c r="J131" s="7"/>
      <c r="K131" s="7"/>
      <c r="L131" s="7"/>
      <c r="M131" s="7"/>
      <c r="N131" s="7"/>
    </row>
    <row r="132" spans="2:14">
      <c r="B132" s="7"/>
      <c r="C132" s="7"/>
      <c r="D132" s="7"/>
      <c r="E132" s="7"/>
      <c r="F132" s="7"/>
      <c r="G132" s="7"/>
      <c r="H132" s="7"/>
      <c r="I132" s="7"/>
      <c r="J132" s="7"/>
      <c r="K132" s="7"/>
      <c r="L132" s="7"/>
      <c r="M132" s="7"/>
      <c r="N132" s="7"/>
    </row>
  </sheetData>
  <sheetProtection sheet="1" objects="1" scenarios="1"/>
  <mergeCells count="41">
    <mergeCell ref="B40:B41"/>
    <mergeCell ref="C40:C41"/>
    <mergeCell ref="D40:E40"/>
    <mergeCell ref="F40:G40"/>
    <mergeCell ref="H40:H41"/>
    <mergeCell ref="B22:B23"/>
    <mergeCell ref="C22:C23"/>
    <mergeCell ref="D22:E22"/>
    <mergeCell ref="F22:G22"/>
    <mergeCell ref="H22:H23"/>
    <mergeCell ref="M40:M41"/>
    <mergeCell ref="J88:K88"/>
    <mergeCell ref="K22:L23"/>
    <mergeCell ref="K24:L24"/>
    <mergeCell ref="K25:L25"/>
    <mergeCell ref="K26:L26"/>
    <mergeCell ref="K27:L27"/>
    <mergeCell ref="I22:J23"/>
    <mergeCell ref="I24:J24"/>
    <mergeCell ref="I25:J25"/>
    <mergeCell ref="J40:J41"/>
    <mergeCell ref="I32:J32"/>
    <mergeCell ref="K34:L34"/>
    <mergeCell ref="K35:L35"/>
    <mergeCell ref="K40:K41"/>
    <mergeCell ref="N40:N41"/>
    <mergeCell ref="K33:L33"/>
    <mergeCell ref="K28:L28"/>
    <mergeCell ref="I26:J26"/>
    <mergeCell ref="I27:J27"/>
    <mergeCell ref="I28:J28"/>
    <mergeCell ref="I29:J29"/>
    <mergeCell ref="I30:J30"/>
    <mergeCell ref="I33:J33"/>
    <mergeCell ref="I34:J34"/>
    <mergeCell ref="I35:J35"/>
    <mergeCell ref="K29:L29"/>
    <mergeCell ref="K30:L30"/>
    <mergeCell ref="K31:L31"/>
    <mergeCell ref="K32:L32"/>
    <mergeCell ref="I31:J31"/>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EFF3E-9145-4753-A9E0-EDBECE7D9C44}">
  <sheetPr codeName="Sheet9">
    <tabColor theme="5" tint="-0.249977111117893"/>
  </sheetPr>
  <dimension ref="B1:P125"/>
  <sheetViews>
    <sheetView showGridLines="0" topLeftCell="D34" zoomScaleNormal="100" workbookViewId="0">
      <selection activeCell="F55" sqref="F55"/>
    </sheetView>
  </sheetViews>
  <sheetFormatPr defaultRowHeight="13.8"/>
  <cols>
    <col min="1" max="1" width="2.59765625" customWidth="1"/>
    <col min="2" max="2" width="26.8984375" customWidth="1"/>
    <col min="3" max="8" width="18.59765625" customWidth="1"/>
    <col min="9" max="9" width="5" customWidth="1"/>
    <col min="10" max="10" width="13.5" style="65" customWidth="1"/>
    <col min="11" max="11" width="18.69921875" style="66" customWidth="1"/>
    <col min="12" max="12" width="18.69921875" style="65" customWidth="1"/>
    <col min="13" max="14" width="18.69921875" customWidth="1"/>
  </cols>
  <sheetData>
    <row r="1" spans="2:12" ht="21">
      <c r="B1" s="8" t="s">
        <v>64</v>
      </c>
      <c r="C1" s="8"/>
      <c r="D1" s="8"/>
      <c r="E1" s="8"/>
      <c r="F1" s="8"/>
      <c r="G1" s="8"/>
      <c r="H1" s="8"/>
      <c r="J1"/>
      <c r="K1"/>
      <c r="L1"/>
    </row>
    <row r="3" spans="2:12" ht="14.4">
      <c r="B3" s="44" t="s">
        <v>31</v>
      </c>
    </row>
    <row r="4" spans="2:12">
      <c r="C4" s="14" t="s">
        <v>32</v>
      </c>
    </row>
    <row r="5" spans="2:12">
      <c r="B5" s="88" t="s">
        <v>65</v>
      </c>
      <c r="C5" s="6" t="str">
        <f>Main!D7</f>
        <v>Medium</v>
      </c>
    </row>
    <row r="6" spans="2:12" ht="14.4">
      <c r="B6" s="88" t="s">
        <v>33</v>
      </c>
      <c r="C6" s="19">
        <v>365</v>
      </c>
      <c r="D6" s="10"/>
      <c r="J6"/>
      <c r="K6"/>
      <c r="L6"/>
    </row>
    <row r="7" spans="2:12" ht="14.4">
      <c r="B7" s="10"/>
    </row>
    <row r="8" spans="2:12" ht="14.4">
      <c r="B8" s="44" t="s">
        <v>12</v>
      </c>
    </row>
    <row r="9" spans="2:12">
      <c r="C9" s="14" t="s">
        <v>13</v>
      </c>
    </row>
    <row r="10" spans="2:12">
      <c r="B10" s="88" t="s">
        <v>34</v>
      </c>
      <c r="C10" s="42">
        <f>Main!$D$10</f>
        <v>1.3E-7</v>
      </c>
    </row>
    <row r="11" spans="2:12">
      <c r="B11" s="88" t="s">
        <v>35</v>
      </c>
      <c r="C11" s="42">
        <f>Main!$D$11</f>
        <v>1.1999999999999999E-7</v>
      </c>
    </row>
    <row r="12" spans="2:12" ht="14.4">
      <c r="B12" s="10"/>
      <c r="C12" s="10"/>
    </row>
    <row r="13" spans="2:12" ht="14.4">
      <c r="B13" s="44" t="s">
        <v>16</v>
      </c>
    </row>
    <row r="15" spans="2:12">
      <c r="B15" s="88" t="s">
        <v>18</v>
      </c>
      <c r="C15" s="50">
        <f>Main!$D$14</f>
        <v>2040</v>
      </c>
    </row>
    <row r="16" spans="2:12">
      <c r="B16" s="88" t="s">
        <v>19</v>
      </c>
      <c r="C16" s="51">
        <f>Main!$D$15</f>
        <v>0.03</v>
      </c>
      <c r="F16" s="74"/>
    </row>
    <row r="17" spans="2:14">
      <c r="B17" s="88" t="s">
        <v>235</v>
      </c>
      <c r="C17" s="55">
        <f>Main!$D$16</f>
        <v>0.4</v>
      </c>
      <c r="F17" s="74"/>
    </row>
    <row r="18" spans="2:14">
      <c r="F18" s="74"/>
    </row>
    <row r="19" spans="2:14">
      <c r="F19" s="74"/>
    </row>
    <row r="20" spans="2:14" ht="14.4">
      <c r="B20" s="10" t="s">
        <v>84</v>
      </c>
      <c r="J20" s="10" t="s">
        <v>85</v>
      </c>
    </row>
    <row r="21" spans="2:14">
      <c r="C21" s="14" t="s">
        <v>67</v>
      </c>
      <c r="D21" s="14" t="s">
        <v>67</v>
      </c>
      <c r="E21" s="14" t="s">
        <v>67</v>
      </c>
      <c r="F21" s="14" t="s">
        <v>67</v>
      </c>
      <c r="G21" s="14" t="s">
        <v>67</v>
      </c>
      <c r="H21" s="14" t="s">
        <v>67</v>
      </c>
      <c r="K21" s="14" t="s">
        <v>67</v>
      </c>
      <c r="L21" s="14" t="s">
        <v>67</v>
      </c>
      <c r="M21" s="14" t="s">
        <v>67</v>
      </c>
      <c r="N21" s="14" t="s">
        <v>67</v>
      </c>
    </row>
    <row r="22" spans="2:14" ht="15.75" customHeight="1">
      <c r="B22" s="174" t="s">
        <v>25</v>
      </c>
      <c r="C22" s="9" t="s">
        <v>86</v>
      </c>
      <c r="D22" s="173" t="s">
        <v>87</v>
      </c>
      <c r="E22" s="173"/>
      <c r="F22" s="173"/>
      <c r="G22" s="173"/>
      <c r="H22" s="173" t="s">
        <v>64</v>
      </c>
      <c r="J22" s="174" t="s">
        <v>25</v>
      </c>
      <c r="K22" s="175" t="s">
        <v>53</v>
      </c>
      <c r="L22" s="175" t="s">
        <v>54</v>
      </c>
      <c r="M22" s="171" t="s">
        <v>88</v>
      </c>
      <c r="N22" s="171" t="s">
        <v>89</v>
      </c>
    </row>
    <row r="23" spans="2:14">
      <c r="B23" s="174"/>
      <c r="C23" s="62" t="s">
        <v>8</v>
      </c>
      <c r="D23" s="62" t="s">
        <v>8</v>
      </c>
      <c r="E23" s="62" t="s">
        <v>53</v>
      </c>
      <c r="F23" s="62" t="s">
        <v>54</v>
      </c>
      <c r="G23" s="62" t="s">
        <v>55</v>
      </c>
      <c r="H23" s="173"/>
      <c r="J23" s="174"/>
      <c r="K23" s="175"/>
      <c r="L23" s="175"/>
      <c r="M23" s="171"/>
      <c r="N23" s="171"/>
    </row>
    <row r="24" spans="2:14" ht="14.25" customHeight="1">
      <c r="B24" s="6">
        <v>2010</v>
      </c>
      <c r="C24" s="21">
        <v>281</v>
      </c>
      <c r="D24" s="21">
        <v>195.1</v>
      </c>
      <c r="E24" s="21">
        <v>24.5</v>
      </c>
      <c r="F24" s="21">
        <v>96.4</v>
      </c>
      <c r="G24" s="21">
        <f t="shared" ref="G24:G34" si="0">D24+E24+F24</f>
        <v>316</v>
      </c>
      <c r="H24" s="21">
        <f t="shared" ref="H24:H34" si="1">C24+G24</f>
        <v>597</v>
      </c>
      <c r="J24" s="6">
        <v>2010</v>
      </c>
      <c r="K24" s="21">
        <v>24.5</v>
      </c>
      <c r="L24" s="21">
        <v>96.4</v>
      </c>
      <c r="M24" s="73">
        <f t="shared" ref="M24:M34" si="2">K24/(K24+L24)</f>
        <v>0.20264681555004135</v>
      </c>
      <c r="N24" s="73">
        <f t="shared" ref="N24:N35" si="3">1-M24</f>
        <v>0.79735318444995862</v>
      </c>
    </row>
    <row r="25" spans="2:14">
      <c r="B25" s="6">
        <v>2011</v>
      </c>
      <c r="C25" s="21">
        <v>281.3</v>
      </c>
      <c r="D25" s="21">
        <v>197.2</v>
      </c>
      <c r="E25" s="21">
        <v>23.1</v>
      </c>
      <c r="F25" s="21">
        <v>102.4</v>
      </c>
      <c r="G25" s="21">
        <f t="shared" si="0"/>
        <v>322.7</v>
      </c>
      <c r="H25" s="21">
        <f t="shared" si="1"/>
        <v>604</v>
      </c>
      <c r="J25" s="6">
        <v>2011</v>
      </c>
      <c r="K25" s="21">
        <v>23.1</v>
      </c>
      <c r="L25" s="21">
        <v>102.4</v>
      </c>
      <c r="M25" s="73">
        <f t="shared" si="2"/>
        <v>0.18406374501992032</v>
      </c>
      <c r="N25" s="73">
        <f t="shared" si="3"/>
        <v>0.81593625498007971</v>
      </c>
    </row>
    <row r="26" spans="2:14">
      <c r="B26" s="6">
        <v>2012</v>
      </c>
      <c r="C26" s="21">
        <v>284.39999999999998</v>
      </c>
      <c r="D26" s="21">
        <v>206.5</v>
      </c>
      <c r="E26" s="21">
        <v>25.3</v>
      </c>
      <c r="F26" s="21">
        <v>111.4</v>
      </c>
      <c r="G26" s="21">
        <f t="shared" si="0"/>
        <v>343.20000000000005</v>
      </c>
      <c r="H26" s="21">
        <f t="shared" si="1"/>
        <v>627.6</v>
      </c>
      <c r="J26" s="6">
        <v>2012</v>
      </c>
      <c r="K26" s="21">
        <v>25.3</v>
      </c>
      <c r="L26" s="21">
        <v>111.4</v>
      </c>
      <c r="M26" s="73">
        <f t="shared" si="2"/>
        <v>0.18507681053401609</v>
      </c>
      <c r="N26" s="73">
        <f t="shared" si="3"/>
        <v>0.81492318946598385</v>
      </c>
    </row>
    <row r="27" spans="2:14">
      <c r="B27" s="6">
        <v>2013</v>
      </c>
      <c r="C27" s="21">
        <v>286.7</v>
      </c>
      <c r="D27" s="21">
        <v>211.9</v>
      </c>
      <c r="E27" s="21">
        <v>27.6</v>
      </c>
      <c r="F27" s="21">
        <v>114.1</v>
      </c>
      <c r="G27" s="21">
        <f t="shared" si="0"/>
        <v>353.6</v>
      </c>
      <c r="H27" s="21">
        <f t="shared" si="1"/>
        <v>640.29999999999995</v>
      </c>
      <c r="J27" s="6">
        <v>2013</v>
      </c>
      <c r="K27" s="21">
        <v>27.6</v>
      </c>
      <c r="L27" s="21">
        <v>114.1</v>
      </c>
      <c r="M27" s="73">
        <f t="shared" si="2"/>
        <v>0.19477769936485537</v>
      </c>
      <c r="N27" s="73">
        <f t="shared" si="3"/>
        <v>0.80522230063514466</v>
      </c>
    </row>
    <row r="28" spans="2:14">
      <c r="B28" s="6">
        <v>2014</v>
      </c>
      <c r="C28" s="21">
        <v>291.2</v>
      </c>
      <c r="D28" s="21">
        <v>215.1</v>
      </c>
      <c r="E28" s="21">
        <v>27.6</v>
      </c>
      <c r="F28" s="21">
        <v>117.1</v>
      </c>
      <c r="G28" s="21">
        <f t="shared" si="0"/>
        <v>359.79999999999995</v>
      </c>
      <c r="H28" s="21">
        <f t="shared" si="1"/>
        <v>651</v>
      </c>
      <c r="J28" s="6">
        <v>2014</v>
      </c>
      <c r="K28" s="21">
        <v>27.6</v>
      </c>
      <c r="L28" s="21">
        <v>117.1</v>
      </c>
      <c r="M28" s="73">
        <f t="shared" si="2"/>
        <v>0.19073946095369734</v>
      </c>
      <c r="N28" s="73">
        <f t="shared" si="3"/>
        <v>0.80926053904630268</v>
      </c>
    </row>
    <row r="29" spans="2:14">
      <c r="B29" s="6">
        <v>2015</v>
      </c>
      <c r="C29" s="21">
        <v>297.10000000000002</v>
      </c>
      <c r="D29" s="21">
        <v>217.6</v>
      </c>
      <c r="E29" s="21">
        <v>25</v>
      </c>
      <c r="F29" s="21">
        <v>124.8</v>
      </c>
      <c r="G29" s="21">
        <f t="shared" si="0"/>
        <v>367.4</v>
      </c>
      <c r="H29" s="21">
        <f t="shared" si="1"/>
        <v>664.5</v>
      </c>
      <c r="J29" s="6">
        <v>2015</v>
      </c>
      <c r="K29" s="21">
        <v>25</v>
      </c>
      <c r="L29" s="21">
        <v>124.8</v>
      </c>
      <c r="M29" s="73">
        <f t="shared" si="2"/>
        <v>0.16688918558077434</v>
      </c>
      <c r="N29" s="73">
        <f t="shared" si="3"/>
        <v>0.83311081441922563</v>
      </c>
    </row>
    <row r="30" spans="2:14">
      <c r="B30" s="6">
        <v>2016</v>
      </c>
      <c r="C30" s="21">
        <v>301.39999999999998</v>
      </c>
      <c r="D30" s="21">
        <v>215.6</v>
      </c>
      <c r="E30" s="21">
        <v>21</v>
      </c>
      <c r="F30" s="21">
        <v>126.6</v>
      </c>
      <c r="G30" s="21">
        <f t="shared" si="0"/>
        <v>363.2</v>
      </c>
      <c r="H30" s="21">
        <f t="shared" si="1"/>
        <v>664.59999999999991</v>
      </c>
      <c r="J30" s="6">
        <v>2016</v>
      </c>
      <c r="K30" s="21">
        <v>21</v>
      </c>
      <c r="L30" s="21">
        <v>126.6</v>
      </c>
      <c r="M30" s="73">
        <f t="shared" si="2"/>
        <v>0.14227642276422764</v>
      </c>
      <c r="N30" s="73">
        <f t="shared" si="3"/>
        <v>0.85772357723577231</v>
      </c>
    </row>
    <row r="31" spans="2:14">
      <c r="B31" s="6">
        <v>2017</v>
      </c>
      <c r="C31" s="21">
        <v>294.8</v>
      </c>
      <c r="D31" s="21">
        <v>204.5</v>
      </c>
      <c r="E31" s="21">
        <v>19.899999999999999</v>
      </c>
      <c r="F31" s="21">
        <v>140.19999999999999</v>
      </c>
      <c r="G31" s="21">
        <f t="shared" si="0"/>
        <v>364.6</v>
      </c>
      <c r="H31" s="21">
        <f t="shared" si="1"/>
        <v>659.40000000000009</v>
      </c>
      <c r="J31" s="6">
        <v>2017</v>
      </c>
      <c r="K31" s="21">
        <v>19.899999999999999</v>
      </c>
      <c r="L31" s="21">
        <v>140.19999999999999</v>
      </c>
      <c r="M31" s="73">
        <f t="shared" si="2"/>
        <v>0.12429731417863835</v>
      </c>
      <c r="N31" s="73">
        <f t="shared" si="3"/>
        <v>0.87570268582136168</v>
      </c>
    </row>
    <row r="32" spans="2:14">
      <c r="B32" s="6">
        <v>2018</v>
      </c>
      <c r="C32" s="21">
        <v>294.2</v>
      </c>
      <c r="D32" s="21">
        <v>201.3</v>
      </c>
      <c r="E32" s="21">
        <v>20.6</v>
      </c>
      <c r="F32" s="21">
        <v>140.5</v>
      </c>
      <c r="G32" s="21">
        <f t="shared" si="0"/>
        <v>362.4</v>
      </c>
      <c r="H32" s="21">
        <f t="shared" si="1"/>
        <v>656.59999999999991</v>
      </c>
      <c r="J32" s="6">
        <v>2018</v>
      </c>
      <c r="K32" s="21">
        <v>20.6</v>
      </c>
      <c r="L32" s="21">
        <v>140.5</v>
      </c>
      <c r="M32" s="73">
        <f t="shared" si="2"/>
        <v>0.12787088764742396</v>
      </c>
      <c r="N32" s="73">
        <f t="shared" si="3"/>
        <v>0.87212911235257606</v>
      </c>
    </row>
    <row r="33" spans="2:16">
      <c r="B33" s="6">
        <v>2019</v>
      </c>
      <c r="C33" s="21">
        <v>297.60000000000002</v>
      </c>
      <c r="D33" s="21">
        <v>202.6</v>
      </c>
      <c r="E33" s="21">
        <v>17.899999999999999</v>
      </c>
      <c r="F33" s="21">
        <v>145.5</v>
      </c>
      <c r="G33" s="21">
        <f t="shared" si="0"/>
        <v>366</v>
      </c>
      <c r="H33" s="21">
        <f t="shared" si="1"/>
        <v>663.6</v>
      </c>
      <c r="J33" s="6">
        <v>2019</v>
      </c>
      <c r="K33" s="21">
        <v>17.899999999999999</v>
      </c>
      <c r="L33" s="21">
        <v>145.5</v>
      </c>
      <c r="M33" s="73">
        <f t="shared" si="2"/>
        <v>0.109547123623011</v>
      </c>
      <c r="N33" s="73">
        <f t="shared" si="3"/>
        <v>0.890452876376989</v>
      </c>
    </row>
    <row r="34" spans="2:16">
      <c r="B34" s="6">
        <v>2020</v>
      </c>
      <c r="C34" s="21">
        <v>320.7</v>
      </c>
      <c r="D34" s="21">
        <v>180.5</v>
      </c>
      <c r="E34" s="21">
        <v>13</v>
      </c>
      <c r="F34" s="21">
        <v>141.1</v>
      </c>
      <c r="G34" s="21">
        <f t="shared" si="0"/>
        <v>334.6</v>
      </c>
      <c r="H34" s="21">
        <f t="shared" si="1"/>
        <v>655.29999999999995</v>
      </c>
      <c r="J34" s="6">
        <v>2020</v>
      </c>
      <c r="K34" s="21">
        <v>13</v>
      </c>
      <c r="L34" s="21">
        <v>141.1</v>
      </c>
      <c r="M34" s="73">
        <f t="shared" si="2"/>
        <v>8.4360804672290721E-2</v>
      </c>
      <c r="N34" s="73">
        <f t="shared" si="3"/>
        <v>0.91563919532770932</v>
      </c>
    </row>
    <row r="35" spans="2:16" ht="14.4" thickBot="1">
      <c r="L35" s="68" t="s">
        <v>78</v>
      </c>
      <c r="M35" s="71">
        <f>AVERAGE(M24:M34)</f>
        <v>0.15568602453535421</v>
      </c>
      <c r="N35" s="76">
        <f t="shared" si="3"/>
        <v>0.84431397546464582</v>
      </c>
      <c r="P35" t="s">
        <v>221</v>
      </c>
    </row>
    <row r="36" spans="2:16" ht="14.4" thickTop="1">
      <c r="G36" s="137"/>
      <c r="L36" s="68"/>
      <c r="M36" s="69"/>
      <c r="N36" s="70"/>
    </row>
    <row r="38" spans="2:16" ht="14.4">
      <c r="B38" s="10" t="s">
        <v>90</v>
      </c>
      <c r="J38" s="10" t="s">
        <v>91</v>
      </c>
    </row>
    <row r="39" spans="2:16">
      <c r="C39" s="14" t="s">
        <v>67</v>
      </c>
      <c r="D39" s="14" t="s">
        <v>67</v>
      </c>
      <c r="E39" s="14" t="s">
        <v>67</v>
      </c>
      <c r="F39" s="14" t="s">
        <v>67</v>
      </c>
      <c r="G39" s="14" t="s">
        <v>67</v>
      </c>
      <c r="H39" s="14" t="s">
        <v>67</v>
      </c>
      <c r="K39" s="14" t="s">
        <v>67</v>
      </c>
      <c r="L39" s="14" t="s">
        <v>67</v>
      </c>
    </row>
    <row r="40" spans="2:16" ht="15.75" customHeight="1">
      <c r="B40" s="184" t="s">
        <v>25</v>
      </c>
      <c r="C40" s="39" t="s">
        <v>86</v>
      </c>
      <c r="D40" s="167" t="s">
        <v>92</v>
      </c>
      <c r="E40" s="167"/>
      <c r="F40" s="167"/>
      <c r="G40" s="167"/>
      <c r="H40" s="167" t="s">
        <v>64</v>
      </c>
      <c r="J40" s="171" t="s">
        <v>25</v>
      </c>
      <c r="K40" s="171" t="s">
        <v>93</v>
      </c>
      <c r="L40" s="171" t="s">
        <v>94</v>
      </c>
    </row>
    <row r="41" spans="2:16">
      <c r="B41" s="184"/>
      <c r="C41" s="75" t="s">
        <v>8</v>
      </c>
      <c r="D41" s="75" t="s">
        <v>8</v>
      </c>
      <c r="E41" s="75" t="s">
        <v>53</v>
      </c>
      <c r="F41" s="75" t="s">
        <v>54</v>
      </c>
      <c r="G41" s="75" t="s">
        <v>55</v>
      </c>
      <c r="H41" s="167"/>
      <c r="J41" s="171"/>
      <c r="K41" s="171"/>
      <c r="L41" s="171"/>
    </row>
    <row r="42" spans="2:16">
      <c r="B42" s="6">
        <v>2021</v>
      </c>
      <c r="C42" s="5">
        <f>VLOOKUP(B42,'DD Pot_Water'!$B$42:$H$86,4,FALSE)</f>
        <v>319.67303106441256</v>
      </c>
      <c r="D42" s="5">
        <f>VLOOKUP(B42,'DD Pot_Water'!$B$42:$H$86,6,FALSE)</f>
        <v>222.41270776156352</v>
      </c>
      <c r="E42" s="5">
        <f>(G42-D42)*$M$35</f>
        <v>18.292676735824635</v>
      </c>
      <c r="F42" s="5">
        <f>(G42-D42)*$N$35</f>
        <v>99.204553927102424</v>
      </c>
      <c r="G42" s="5">
        <f>C42/K42*L42</f>
        <v>339.90993842449058</v>
      </c>
      <c r="H42" s="26">
        <f>C42+G42</f>
        <v>659.58296948890313</v>
      </c>
      <c r="J42" s="67">
        <v>2021</v>
      </c>
      <c r="K42" s="72">
        <f t="shared" ref="K42:K80" si="4">IF(J42=2021,$C$34/($C$34+$G$34)-($C$34/($C$34+$G$34)-$K$81)/COUNT($J$42:$J$81),K41-($C$34/($C$34+$G$34)-$K$81)/COUNT($J$42:$J$81))</f>
        <v>0.48465931634365944</v>
      </c>
      <c r="L42" s="72">
        <f>1-K42</f>
        <v>0.51534068365634056</v>
      </c>
      <c r="M42" s="52"/>
    </row>
    <row r="43" spans="2:16">
      <c r="B43" s="6">
        <v>2022</v>
      </c>
      <c r="C43" s="5">
        <f>VLOOKUP(B43,'DD Pot_Water'!$B$42:$H$86,4,FALSE)</f>
        <v>318.54534693035555</v>
      </c>
      <c r="D43" s="5">
        <f>VLOOKUP(B43,'DD Pot_Water'!$B$42:$H$86,6,FALSE)</f>
        <v>221.62812083247465</v>
      </c>
      <c r="E43" s="5">
        <f t="shared" ref="E43:E86" si="5">(G43-D43)*$M$35</f>
        <v>19.237674450954891</v>
      </c>
      <c r="F43" s="5">
        <f t="shared" ref="F43:F86" si="6">(G43-D43)*$N$35</f>
        <v>104.32945052618958</v>
      </c>
      <c r="G43" s="5">
        <f t="shared" ref="G43:G86" si="7">C43/K43*L43</f>
        <v>345.19524580961911</v>
      </c>
      <c r="H43" s="26">
        <f t="shared" ref="H43:H86" si="8">C43+G43</f>
        <v>663.74059273997466</v>
      </c>
      <c r="J43" s="67">
        <v>2022</v>
      </c>
      <c r="K43" s="72">
        <f t="shared" si="4"/>
        <v>0.47992446207843742</v>
      </c>
      <c r="L43" s="72">
        <f t="shared" ref="L43:L80" si="9">1-K43</f>
        <v>0.52007553792156258</v>
      </c>
      <c r="M43" s="52"/>
    </row>
    <row r="44" spans="2:16">
      <c r="B44" s="6">
        <v>2023</v>
      </c>
      <c r="C44" s="5">
        <f>VLOOKUP(B44,'DD Pot_Water'!$B$42:$H$86,4,FALSE)</f>
        <v>317.31568018668338</v>
      </c>
      <c r="D44" s="5">
        <f>VLOOKUP(B44,'DD Pot_Water'!$B$42:$H$86,6,FALSE)</f>
        <v>220.77257944009057</v>
      </c>
      <c r="E44" s="5">
        <f t="shared" si="5"/>
        <v>20.189082812863465</v>
      </c>
      <c r="F44" s="5">
        <f t="shared" si="6"/>
        <v>109.48911324306314</v>
      </c>
      <c r="G44" s="5">
        <f t="shared" si="7"/>
        <v>350.45077549601717</v>
      </c>
      <c r="H44" s="26">
        <f t="shared" si="8"/>
        <v>667.76645568270055</v>
      </c>
      <c r="J44" s="67">
        <v>2023</v>
      </c>
      <c r="K44" s="72">
        <f t="shared" si="4"/>
        <v>0.4751896078132154</v>
      </c>
      <c r="L44" s="72">
        <f t="shared" si="9"/>
        <v>0.5248103921867846</v>
      </c>
      <c r="M44" s="52"/>
    </row>
    <row r="45" spans="2:16">
      <c r="B45" s="6">
        <v>2024</v>
      </c>
      <c r="C45" s="5">
        <f>VLOOKUP(B45,'DD Pot_Water'!$B$42:$H$86,4,FALSE)</f>
        <v>315.98274997491058</v>
      </c>
      <c r="D45" s="5">
        <f>VLOOKUP(B45,'DD Pot_Water'!$B$42:$H$86,6,FALSE)</f>
        <v>219.84519242633323</v>
      </c>
      <c r="E45" s="5">
        <f t="shared" si="5"/>
        <v>21.146196742391272</v>
      </c>
      <c r="F45" s="5">
        <f t="shared" si="6"/>
        <v>114.67971830362659</v>
      </c>
      <c r="G45" s="5">
        <f t="shared" si="7"/>
        <v>355.67110747235108</v>
      </c>
      <c r="H45" s="26">
        <f t="shared" si="8"/>
        <v>671.65385744726166</v>
      </c>
      <c r="J45" s="67">
        <v>2024</v>
      </c>
      <c r="K45" s="72">
        <f t="shared" si="4"/>
        <v>0.47045475354799338</v>
      </c>
      <c r="L45" s="72">
        <f t="shared" si="9"/>
        <v>0.52954524645200662</v>
      </c>
    </row>
    <row r="46" spans="2:16">
      <c r="B46" s="6">
        <v>2025</v>
      </c>
      <c r="C46" s="5">
        <f>VLOOKUP(B46,'DD Pot_Water'!$B$42:$H$86,4,FALSE)</f>
        <v>314.54526185801865</v>
      </c>
      <c r="D46" s="5">
        <f>VLOOKUP(B46,'DD Pot_Water'!$B$42:$H$86,6,FALSE)</f>
        <v>218.84505918585168</v>
      </c>
      <c r="E46" s="5">
        <f t="shared" si="5"/>
        <v>22.108267780917092</v>
      </c>
      <c r="F46" s="5">
        <f t="shared" si="6"/>
        <v>119.89720667897319</v>
      </c>
      <c r="G46" s="5">
        <f t="shared" si="7"/>
        <v>360.85053364574196</v>
      </c>
      <c r="H46" s="26">
        <f t="shared" si="8"/>
        <v>675.39579550376061</v>
      </c>
      <c r="J46" s="67">
        <v>2025</v>
      </c>
      <c r="K46" s="72">
        <f t="shared" si="4"/>
        <v>0.46571989928277135</v>
      </c>
      <c r="L46" s="72">
        <f t="shared" si="9"/>
        <v>0.53428010071722865</v>
      </c>
    </row>
    <row r="47" spans="2:16">
      <c r="B47" s="6">
        <v>2026</v>
      </c>
      <c r="C47" s="5">
        <f>VLOOKUP(B47,'DD Pot_Water'!$B$42:$H$86,4,FALSE)</f>
        <v>313.00190768804413</v>
      </c>
      <c r="D47" s="5">
        <f>VLOOKUP(B47,'DD Pot_Water'!$B$42:$H$86,6,FALSE)</f>
        <v>217.77126957389672</v>
      </c>
      <c r="E47" s="5">
        <f t="shared" si="5"/>
        <v>23.074501668707477</v>
      </c>
      <c r="F47" s="5">
        <f t="shared" si="6"/>
        <v>125.13727095233192</v>
      </c>
      <c r="G47" s="5">
        <f t="shared" si="7"/>
        <v>365.9830421949361</v>
      </c>
      <c r="H47" s="26">
        <f t="shared" si="8"/>
        <v>678.98494988298023</v>
      </c>
      <c r="J47" s="67">
        <v>2026</v>
      </c>
      <c r="K47" s="72">
        <f t="shared" si="4"/>
        <v>0.46098504501754933</v>
      </c>
      <c r="L47" s="72">
        <f t="shared" si="9"/>
        <v>0.53901495498245067</v>
      </c>
    </row>
    <row r="48" spans="2:16">
      <c r="B48" s="6">
        <v>2027</v>
      </c>
      <c r="C48" s="5">
        <f>VLOOKUP(B48,'DD Pot_Water'!$B$42:$H$86,4,FALSE)</f>
        <v>311.35136547243917</v>
      </c>
      <c r="D48" s="5">
        <f>VLOOKUP(B48,'DD Pot_Water'!$B$42:$H$86,6,FALSE)</f>
        <v>216.62290381334083</v>
      </c>
      <c r="E48" s="5">
        <f t="shared" si="5"/>
        <v>24.044055770207468</v>
      </c>
      <c r="F48" s="5">
        <f t="shared" si="6"/>
        <v>130.39534135594488</v>
      </c>
      <c r="G48" s="5">
        <f t="shared" si="7"/>
        <v>371.06230093949318</v>
      </c>
      <c r="H48" s="26">
        <f t="shared" si="8"/>
        <v>682.41366641193235</v>
      </c>
      <c r="J48" s="67">
        <v>2027</v>
      </c>
      <c r="K48" s="72">
        <f t="shared" si="4"/>
        <v>0.45625019075232731</v>
      </c>
      <c r="L48" s="72">
        <f t="shared" si="9"/>
        <v>0.54374980924767269</v>
      </c>
      <c r="M48" s="61"/>
    </row>
    <row r="49" spans="2:12">
      <c r="B49" s="6">
        <v>2028</v>
      </c>
      <c r="C49" s="5">
        <f>VLOOKUP(B49,'DD Pot_Water'!$B$42:$H$86,4,FALSE)</f>
        <v>309.5922992391923</v>
      </c>
      <c r="D49" s="5">
        <f>VLOOKUP(B49,'DD Pot_Water'!$B$42:$H$86,6,FALSE)</f>
        <v>215.39903240083646</v>
      </c>
      <c r="E49" s="5">
        <f t="shared" si="5"/>
        <v>25.016036335011648</v>
      </c>
      <c r="F49" s="5">
        <f t="shared" si="6"/>
        <v>135.66657091680909</v>
      </c>
      <c r="G49" s="5">
        <f t="shared" si="7"/>
        <v>376.0816396526572</v>
      </c>
      <c r="H49" s="26">
        <f t="shared" si="8"/>
        <v>685.6739388918495</v>
      </c>
      <c r="J49" s="67">
        <v>2028</v>
      </c>
      <c r="K49" s="72">
        <f t="shared" si="4"/>
        <v>0.45151533648710529</v>
      </c>
      <c r="L49" s="72">
        <f t="shared" si="9"/>
        <v>0.54848466351289471</v>
      </c>
    </row>
    <row r="50" spans="2:12">
      <c r="B50" s="6">
        <v>2029</v>
      </c>
      <c r="C50" s="5">
        <f>VLOOKUP(B50,'DD Pot_Water'!$B$42:$H$86,4,FALSE)</f>
        <v>307.72335890069917</v>
      </c>
      <c r="D50" s="5">
        <f>VLOOKUP(B50,'DD Pot_Water'!$B$42:$H$86,6,FALSE)</f>
        <v>214.09871601210327</v>
      </c>
      <c r="E50" s="5">
        <f t="shared" si="5"/>
        <v>25.98949558230094</v>
      </c>
      <c r="F50" s="5">
        <f t="shared" si="6"/>
        <v>140.9458196450403</v>
      </c>
      <c r="G50" s="5">
        <f t="shared" si="7"/>
        <v>381.03403123944452</v>
      </c>
      <c r="H50" s="26">
        <f t="shared" si="8"/>
        <v>688.75739014014368</v>
      </c>
      <c r="J50" s="67">
        <v>2029</v>
      </c>
      <c r="K50" s="72">
        <f t="shared" si="4"/>
        <v>0.44678048222188327</v>
      </c>
      <c r="L50" s="72">
        <f t="shared" si="9"/>
        <v>0.55321951777811673</v>
      </c>
    </row>
    <row r="51" spans="2:12">
      <c r="B51" s="6">
        <v>2030</v>
      </c>
      <c r="C51" s="5">
        <f>VLOOKUP(B51,'DD Pot_Water'!$B$42:$H$86,4,FALSE)</f>
        <v>305.74318011637092</v>
      </c>
      <c r="D51" s="5">
        <f>VLOOKUP(B51,'DD Pot_Water'!$B$42:$H$86,6,FALSE)</f>
        <v>212.72100540633838</v>
      </c>
      <c r="E51" s="5">
        <f t="shared" si="5"/>
        <v>26.96342859548227</v>
      </c>
      <c r="F51" s="5">
        <f t="shared" si="6"/>
        <v>146.22763769293232</v>
      </c>
      <c r="G51" s="5">
        <f t="shared" si="7"/>
        <v>385.91207169475297</v>
      </c>
      <c r="H51" s="26">
        <f t="shared" si="8"/>
        <v>691.65525181112389</v>
      </c>
      <c r="J51" s="67">
        <v>2030</v>
      </c>
      <c r="K51" s="72">
        <f t="shared" si="4"/>
        <v>0.44204562795666125</v>
      </c>
      <c r="L51" s="72">
        <f t="shared" si="9"/>
        <v>0.55795437204333875</v>
      </c>
    </row>
    <row r="52" spans="2:12">
      <c r="B52" s="6">
        <v>2031</v>
      </c>
      <c r="C52" s="5">
        <f>VLOOKUP(B52,'DD Pot_Water'!$B$42:$H$86,4,FALSE)</f>
        <v>308.69676334093418</v>
      </c>
      <c r="D52" s="5">
        <f>VLOOKUP(B52,'DD Pot_Water'!$B$42:$H$86,6,FALSE)</f>
        <v>214.77596274943025</v>
      </c>
      <c r="E52" s="5">
        <f t="shared" si="5"/>
        <v>28.401052431151324</v>
      </c>
      <c r="F52" s="5">
        <f t="shared" si="6"/>
        <v>154.02413644443607</v>
      </c>
      <c r="G52" s="5">
        <f t="shared" si="7"/>
        <v>397.20115162501764</v>
      </c>
      <c r="H52" s="26">
        <f t="shared" si="8"/>
        <v>705.89791496595183</v>
      </c>
      <c r="J52" s="67">
        <v>2031</v>
      </c>
      <c r="K52" s="72">
        <f t="shared" si="4"/>
        <v>0.43731077369143923</v>
      </c>
      <c r="L52" s="72">
        <f t="shared" si="9"/>
        <v>0.56268922630856077</v>
      </c>
    </row>
    <row r="53" spans="2:12">
      <c r="B53" s="6">
        <v>2032</v>
      </c>
      <c r="C53" s="5">
        <f>VLOOKUP(B53,'DD Pot_Water'!$B$42:$H$86,4,FALSE)</f>
        <v>311.65946270442731</v>
      </c>
      <c r="D53" s="5">
        <f>VLOOKUP(B53,'DD Pot_Water'!$B$42:$H$86,6,FALSE)</f>
        <v>216.83726265178325</v>
      </c>
      <c r="E53" s="5">
        <f t="shared" si="5"/>
        <v>29.888092216793975</v>
      </c>
      <c r="F53" s="5">
        <f t="shared" si="6"/>
        <v>162.08862699095218</v>
      </c>
      <c r="G53" s="5">
        <f t="shared" si="7"/>
        <v>408.81398185952941</v>
      </c>
      <c r="H53" s="26">
        <f t="shared" si="8"/>
        <v>720.47344456395672</v>
      </c>
      <c r="J53" s="67">
        <v>2032</v>
      </c>
      <c r="K53" s="72">
        <f t="shared" si="4"/>
        <v>0.4325759194262172</v>
      </c>
      <c r="L53" s="72">
        <f t="shared" si="9"/>
        <v>0.5674240805737828</v>
      </c>
    </row>
    <row r="54" spans="2:12">
      <c r="B54" s="6">
        <v>2033</v>
      </c>
      <c r="C54" s="5">
        <f>VLOOKUP(B54,'DD Pot_Water'!$B$42:$H$86,4,FALSE)</f>
        <v>314.631273913195</v>
      </c>
      <c r="D54" s="5">
        <f>VLOOKUP(B54,'DD Pot_Water'!$B$42:$H$86,6,FALSE)</f>
        <v>218.90490212608412</v>
      </c>
      <c r="E54" s="5">
        <f t="shared" si="5"/>
        <v>31.426268064636691</v>
      </c>
      <c r="F54" s="5">
        <f t="shared" si="6"/>
        <v>170.43043781778636</v>
      </c>
      <c r="G54" s="5">
        <f t="shared" si="7"/>
        <v>420.76160800850715</v>
      </c>
      <c r="H54" s="26">
        <f t="shared" si="8"/>
        <v>735.39288192170216</v>
      </c>
      <c r="J54" s="67">
        <v>2033</v>
      </c>
      <c r="K54" s="72">
        <f t="shared" si="4"/>
        <v>0.42784106516099518</v>
      </c>
      <c r="L54" s="72">
        <f t="shared" si="9"/>
        <v>0.57215893483900482</v>
      </c>
    </row>
    <row r="55" spans="2:12">
      <c r="B55" s="6">
        <v>2034</v>
      </c>
      <c r="C55" s="5">
        <f>VLOOKUP(B55,'DD Pot_Water'!$B$42:$H$86,4,FALSE)</f>
        <v>317.6121920817701</v>
      </c>
      <c r="D55" s="5">
        <f>VLOOKUP(B55,'DD Pot_Water'!$B$42:$H$86,6,FALSE)</f>
        <v>220.97887777326608</v>
      </c>
      <c r="E55" s="5">
        <f t="shared" si="5"/>
        <v>33.017376971676427</v>
      </c>
      <c r="F55" s="5">
        <f t="shared" si="6"/>
        <v>179.05931437051035</v>
      </c>
      <c r="G55" s="5">
        <f t="shared" si="7"/>
        <v>433.05556911545284</v>
      </c>
      <c r="H55" s="26">
        <f t="shared" si="8"/>
        <v>750.66776119722294</v>
      </c>
      <c r="J55" s="67">
        <v>2034</v>
      </c>
      <c r="K55" s="72">
        <f t="shared" si="4"/>
        <v>0.42310621089577316</v>
      </c>
      <c r="L55" s="72">
        <f t="shared" si="9"/>
        <v>0.57689378910422684</v>
      </c>
    </row>
    <row r="56" spans="2:12">
      <c r="B56" s="6">
        <v>2035</v>
      </c>
      <c r="C56" s="5">
        <f>VLOOKUP(B56,'DD Pot_Water'!$B$42:$H$86,4,FALSE)</f>
        <v>320.60221172412639</v>
      </c>
      <c r="D56" s="5">
        <f>VLOOKUP(B56,'DD Pot_Water'!$B$42:$H$86,6,FALSE)</f>
        <v>223.05918577642299</v>
      </c>
      <c r="E56" s="5">
        <f t="shared" si="5"/>
        <v>34.663297160552261</v>
      </c>
      <c r="F56" s="5">
        <f t="shared" si="6"/>
        <v>187.98544259630816</v>
      </c>
      <c r="G56" s="5">
        <f t="shared" si="7"/>
        <v>445.7079255332834</v>
      </c>
      <c r="H56" s="26">
        <f t="shared" si="8"/>
        <v>766.31013725740979</v>
      </c>
      <c r="J56" s="67">
        <v>2035</v>
      </c>
      <c r="K56" s="72">
        <f t="shared" si="4"/>
        <v>0.41837135663055114</v>
      </c>
      <c r="L56" s="72">
        <f t="shared" si="9"/>
        <v>0.58162864336944886</v>
      </c>
    </row>
    <row r="57" spans="2:12">
      <c r="B57" s="6">
        <v>2036</v>
      </c>
      <c r="C57" s="5">
        <f>VLOOKUP(B57,'DD Pot_Water'!$B$42:$H$86,4,FALSE)</f>
        <v>323.60132674483179</v>
      </c>
      <c r="D57" s="5">
        <f>VLOOKUP(B57,'DD Pot_Water'!$B$42:$H$86,6,FALSE)</f>
        <v>225.14582189465426</v>
      </c>
      <c r="E57" s="5">
        <f t="shared" si="5"/>
        <v>36.365992718384227</v>
      </c>
      <c r="F57" s="5">
        <f t="shared" si="6"/>
        <v>197.21947410125313</v>
      </c>
      <c r="G57" s="5">
        <f t="shared" si="7"/>
        <v>458.73128871429162</v>
      </c>
      <c r="H57" s="26">
        <f t="shared" si="8"/>
        <v>782.33261545912342</v>
      </c>
      <c r="J57" s="67">
        <v>2036</v>
      </c>
      <c r="K57" s="72">
        <f t="shared" si="4"/>
        <v>0.41363650236532912</v>
      </c>
      <c r="L57" s="72">
        <f t="shared" si="9"/>
        <v>0.58636349763467088</v>
      </c>
    </row>
    <row r="58" spans="2:12">
      <c r="B58" s="6">
        <v>2037</v>
      </c>
      <c r="C58" s="5">
        <f>VLOOKUP(B58,'DD Pot_Water'!$B$42:$H$86,4,FALSE)</f>
        <v>326.60953043010272</v>
      </c>
      <c r="D58" s="5">
        <f>VLOOKUP(B58,'DD Pot_Water'!$B$42:$H$86,6,FALSE)</f>
        <v>227.23878145684083</v>
      </c>
      <c r="E58" s="5">
        <f t="shared" si="5"/>
        <v>38.127518557729466</v>
      </c>
      <c r="F58" s="5">
        <f t="shared" si="6"/>
        <v>206.77255305448656</v>
      </c>
      <c r="G58" s="5">
        <f t="shared" si="7"/>
        <v>472.13885306905684</v>
      </c>
      <c r="H58" s="26">
        <f t="shared" si="8"/>
        <v>798.74838349915956</v>
      </c>
      <c r="J58" s="67">
        <v>2037</v>
      </c>
      <c r="K58" s="72">
        <f t="shared" si="4"/>
        <v>0.4089016481001071</v>
      </c>
      <c r="L58" s="72">
        <f t="shared" si="9"/>
        <v>0.5910983518998929</v>
      </c>
    </row>
    <row r="59" spans="2:12">
      <c r="B59" s="6">
        <v>2038</v>
      </c>
      <c r="C59" s="5">
        <f>VLOOKUP(B59,'DD Pot_Water'!$B$42:$H$86,4,FALSE)</f>
        <v>329.62681543875698</v>
      </c>
      <c r="D59" s="5">
        <f>VLOOKUP(B59,'DD Pot_Water'!$B$42:$H$86,6,FALSE)</f>
        <v>229.33805935535065</v>
      </c>
      <c r="E59" s="5">
        <f t="shared" si="5"/>
        <v>39.950025726068723</v>
      </c>
      <c r="F59" s="5">
        <f t="shared" si="6"/>
        <v>216.65634498254045</v>
      </c>
      <c r="G59" s="5">
        <f t="shared" si="7"/>
        <v>485.94443006395983</v>
      </c>
      <c r="H59" s="26">
        <f t="shared" si="8"/>
        <v>815.57124550271681</v>
      </c>
      <c r="J59" s="67">
        <v>2038</v>
      </c>
      <c r="K59" s="72">
        <f t="shared" si="4"/>
        <v>0.40416679383488507</v>
      </c>
      <c r="L59" s="72">
        <f t="shared" si="9"/>
        <v>0.59583320616511493</v>
      </c>
    </row>
    <row r="60" spans="2:12">
      <c r="B60" s="6">
        <v>2039</v>
      </c>
      <c r="C60" s="5">
        <f>VLOOKUP(B60,'DD Pot_Water'!$B$42:$H$86,4,FALSE)</f>
        <v>332.65317379306521</v>
      </c>
      <c r="D60" s="5">
        <f>VLOOKUP(B60,'DD Pot_Water'!$B$42:$H$86,6,FALSE)</f>
        <v>231.4436500396736</v>
      </c>
      <c r="E60" s="5">
        <f t="shared" si="5"/>
        <v>41.835767092741065</v>
      </c>
      <c r="F60" s="5">
        <f t="shared" si="6"/>
        <v>226.88306761063157</v>
      </c>
      <c r="G60" s="5">
        <f t="shared" si="7"/>
        <v>500.16248474304621</v>
      </c>
      <c r="H60" s="26">
        <f t="shared" si="8"/>
        <v>832.81565853611141</v>
      </c>
      <c r="J60" s="67">
        <v>2039</v>
      </c>
      <c r="K60" s="72">
        <f t="shared" si="4"/>
        <v>0.39943193956966305</v>
      </c>
      <c r="L60" s="72">
        <f t="shared" si="9"/>
        <v>0.60056806043033695</v>
      </c>
    </row>
    <row r="61" spans="2:12">
      <c r="B61" s="6">
        <v>2040</v>
      </c>
      <c r="C61" s="5">
        <f>VLOOKUP(B61,'DD Pot_Water'!$B$42:$H$86,4,FALSE)</f>
        <v>331.66033370706515</v>
      </c>
      <c r="D61" s="5">
        <f>VLOOKUP(B61,'DD Pot_Water'!$B$42:$H$86,6,FALSE)</f>
        <v>230.75288093986487</v>
      </c>
      <c r="E61" s="5">
        <f t="shared" si="5"/>
        <v>43.261658203679751</v>
      </c>
      <c r="F61" s="5">
        <f t="shared" si="6"/>
        <v>234.61593763573106</v>
      </c>
      <c r="G61" s="5">
        <f t="shared" si="7"/>
        <v>508.63047677927563</v>
      </c>
      <c r="H61" s="26">
        <f t="shared" si="8"/>
        <v>840.29081048634077</v>
      </c>
      <c r="J61" s="67">
        <v>2040</v>
      </c>
      <c r="K61" s="72">
        <f t="shared" si="4"/>
        <v>0.39469708530444103</v>
      </c>
      <c r="L61" s="72">
        <f t="shared" si="9"/>
        <v>0.60530291469555897</v>
      </c>
    </row>
    <row r="62" spans="2:12">
      <c r="B62" s="6">
        <v>2041</v>
      </c>
      <c r="C62" s="5">
        <f>VLOOKUP(B62,'DD Pot_Water'!$B$42:$H$86,4,FALSE)</f>
        <v>334.6682784847041</v>
      </c>
      <c r="D62" s="5">
        <f>VLOOKUP(B62,'DD Pot_Water'!$B$42:$H$86,6,FALSE)</f>
        <v>232.84566036690742</v>
      </c>
      <c r="E62" s="5">
        <f t="shared" si="5"/>
        <v>45.256831907765559</v>
      </c>
      <c r="F62" s="5">
        <f t="shared" si="6"/>
        <v>245.43613197794491</v>
      </c>
      <c r="G62" s="5">
        <f t="shared" si="7"/>
        <v>523.53862425261786</v>
      </c>
      <c r="H62" s="26">
        <f t="shared" si="8"/>
        <v>858.20690273732203</v>
      </c>
      <c r="J62" s="67">
        <v>2041</v>
      </c>
      <c r="K62" s="72">
        <f t="shared" si="4"/>
        <v>0.38996223103921901</v>
      </c>
      <c r="L62" s="72">
        <f t="shared" si="9"/>
        <v>0.61003776896078099</v>
      </c>
    </row>
    <row r="63" spans="2:12">
      <c r="B63" s="6">
        <v>2042</v>
      </c>
      <c r="C63" s="5">
        <f>VLOOKUP(B63,'DD Pot_Water'!$B$42:$H$86,4,FALSE)</f>
        <v>337.68516021648821</v>
      </c>
      <c r="D63" s="5">
        <f>VLOOKUP(B63,'DD Pot_Water'!$B$42:$H$86,6,FALSE)</f>
        <v>234.94465768528707</v>
      </c>
      <c r="E63" s="5">
        <f t="shared" si="5"/>
        <v>47.321824564396955</v>
      </c>
      <c r="F63" s="5">
        <f t="shared" si="6"/>
        <v>256.63496735465424</v>
      </c>
      <c r="G63" s="5">
        <f t="shared" si="7"/>
        <v>538.90144960433827</v>
      </c>
      <c r="H63" s="26">
        <f t="shared" si="8"/>
        <v>876.58660982082642</v>
      </c>
      <c r="J63" s="67">
        <v>2042</v>
      </c>
      <c r="K63" s="72">
        <f t="shared" si="4"/>
        <v>0.38522737677399699</v>
      </c>
      <c r="L63" s="72">
        <f t="shared" si="9"/>
        <v>0.61477262322600301</v>
      </c>
    </row>
    <row r="64" spans="2:12">
      <c r="B64" s="6">
        <v>2043</v>
      </c>
      <c r="C64" s="5">
        <f>VLOOKUP(B64,'DD Pot_Water'!$B$42:$H$86,4,FALSE)</f>
        <v>340.71096841235004</v>
      </c>
      <c r="D64" s="5">
        <f>VLOOKUP(B64,'DD Pot_Water'!$B$42:$H$86,6,FALSE)</f>
        <v>237.04986559653301</v>
      </c>
      <c r="E64" s="5">
        <f t="shared" si="5"/>
        <v>49.459329215976808</v>
      </c>
      <c r="F64" s="5">
        <f t="shared" si="6"/>
        <v>268.22704863064394</v>
      </c>
      <c r="G64" s="5">
        <f t="shared" si="7"/>
        <v>554.73624344315374</v>
      </c>
      <c r="H64" s="26">
        <f t="shared" si="8"/>
        <v>895.44721185550384</v>
      </c>
      <c r="J64" s="67">
        <v>2043</v>
      </c>
      <c r="K64" s="72">
        <f t="shared" si="4"/>
        <v>0.38049252250877497</v>
      </c>
      <c r="L64" s="72">
        <f t="shared" si="9"/>
        <v>0.61950747749122503</v>
      </c>
    </row>
    <row r="65" spans="2:12">
      <c r="B65" s="6">
        <v>2044</v>
      </c>
      <c r="C65" s="5">
        <f>VLOOKUP(B65,'DD Pot_Water'!$B$42:$H$86,4,FALSE)</f>
        <v>343.74569190657502</v>
      </c>
      <c r="D65" s="5">
        <f>VLOOKUP(B65,'DD Pot_Water'!$B$42:$H$86,6,FALSE)</f>
        <v>239.1612763320924</v>
      </c>
      <c r="E65" s="5">
        <f t="shared" si="5"/>
        <v>51.672174401912443</v>
      </c>
      <c r="F65" s="5">
        <f t="shared" si="6"/>
        <v>280.22771549590163</v>
      </c>
      <c r="G65" s="5">
        <f t="shared" si="7"/>
        <v>571.06116622990646</v>
      </c>
      <c r="H65" s="26">
        <f t="shared" si="8"/>
        <v>914.80685813648142</v>
      </c>
      <c r="J65" s="67">
        <v>2044</v>
      </c>
      <c r="K65" s="72">
        <f t="shared" si="4"/>
        <v>0.37575766824355294</v>
      </c>
      <c r="L65" s="72">
        <f t="shared" si="9"/>
        <v>0.62424233175644706</v>
      </c>
    </row>
    <row r="66" spans="2:12">
      <c r="B66" s="6">
        <v>2045</v>
      </c>
      <c r="C66" s="5">
        <f>VLOOKUP(B66,'DD Pot_Water'!$B$42:$H$86,4,FALSE)</f>
        <v>346.7893188481367</v>
      </c>
      <c r="D66" s="5">
        <f>VLOOKUP(B66,'DD Pot_Water'!$B$42:$H$86,6,FALSE)</f>
        <v>241.27888164660629</v>
      </c>
      <c r="E66" s="5">
        <f t="shared" si="5"/>
        <v>53.963332791540452</v>
      </c>
      <c r="F66" s="5">
        <f t="shared" si="6"/>
        <v>292.6530892835579</v>
      </c>
      <c r="G66" s="5">
        <f t="shared" si="7"/>
        <v>587.89530372170464</v>
      </c>
      <c r="H66" s="26">
        <f t="shared" si="8"/>
        <v>934.68462256984139</v>
      </c>
      <c r="J66" s="67">
        <v>2045</v>
      </c>
      <c r="K66" s="72">
        <f t="shared" si="4"/>
        <v>0.37102281397833092</v>
      </c>
      <c r="L66" s="72">
        <f t="shared" si="9"/>
        <v>0.62897718602166908</v>
      </c>
    </row>
    <row r="67" spans="2:12">
      <c r="B67" s="6">
        <v>2046</v>
      </c>
      <c r="C67" s="5">
        <f>VLOOKUP(B67,'DD Pot_Water'!$B$42:$H$86,4,FALSE)</f>
        <v>349.84183669092556</v>
      </c>
      <c r="D67" s="5">
        <f>VLOOKUP(B67,'DD Pot_Water'!$B$42:$H$86,6,FALSE)</f>
        <v>243.40267281111136</v>
      </c>
      <c r="E67" s="5">
        <f t="shared" si="5"/>
        <v>56.335930486401793</v>
      </c>
      <c r="F67" s="5">
        <f t="shared" si="6"/>
        <v>305.52012341783711</v>
      </c>
      <c r="G67" s="5">
        <f t="shared" si="7"/>
        <v>605.25872671535024</v>
      </c>
      <c r="H67" s="26">
        <f t="shared" si="8"/>
        <v>955.1005634062758</v>
      </c>
      <c r="J67" s="67">
        <v>2046</v>
      </c>
      <c r="K67" s="72">
        <f t="shared" si="4"/>
        <v>0.3662879597131089</v>
      </c>
      <c r="L67" s="72">
        <f t="shared" si="9"/>
        <v>0.6337120402868911</v>
      </c>
    </row>
    <row r="68" spans="2:12">
      <c r="B68" s="6">
        <v>2047</v>
      </c>
      <c r="C68" s="5">
        <f>VLOOKUP(B68,'DD Pot_Water'!$B$42:$H$86,4,FALSE)</f>
        <v>352.90323218386817</v>
      </c>
      <c r="D68" s="5">
        <f>VLOOKUP(B68,'DD Pot_Water'!$B$42:$H$86,6,FALSE)</f>
        <v>245.53264060616513</v>
      </c>
      <c r="E68" s="5">
        <f t="shared" si="5"/>
        <v>58.793257053224728</v>
      </c>
      <c r="F68" s="5">
        <f t="shared" si="6"/>
        <v>318.84665782477111</v>
      </c>
      <c r="G68" s="5">
        <f t="shared" si="7"/>
        <v>623.17255548416097</v>
      </c>
      <c r="H68" s="26">
        <f t="shared" si="8"/>
        <v>976.07578766802908</v>
      </c>
      <c r="J68" s="67">
        <v>2047</v>
      </c>
      <c r="K68" s="72">
        <f t="shared" si="4"/>
        <v>0.36155310544788688</v>
      </c>
      <c r="L68" s="72">
        <f t="shared" si="9"/>
        <v>0.63844689455211312</v>
      </c>
    </row>
    <row r="69" spans="2:12">
      <c r="B69" s="6">
        <v>2048</v>
      </c>
      <c r="C69" s="5">
        <f>VLOOKUP(B69,'DD Pot_Water'!$B$42:$H$86,4,FALSE)</f>
        <v>355.97349136093624</v>
      </c>
      <c r="D69" s="5">
        <f>VLOOKUP(B69,'DD Pot_Water'!$B$42:$H$86,6,FALSE)</f>
        <v>247.66877531489476</v>
      </c>
      <c r="E69" s="5">
        <f t="shared" si="5"/>
        <v>61.338776355486303</v>
      </c>
      <c r="F69" s="5">
        <f t="shared" si="6"/>
        <v>332.65147767375117</v>
      </c>
      <c r="G69" s="5">
        <f t="shared" si="7"/>
        <v>641.65902934413225</v>
      </c>
      <c r="H69" s="26">
        <f t="shared" si="8"/>
        <v>997.63252070506849</v>
      </c>
      <c r="J69" s="67">
        <v>2048</v>
      </c>
      <c r="K69" s="72">
        <f t="shared" si="4"/>
        <v>0.35681825118266486</v>
      </c>
      <c r="L69" s="72">
        <f t="shared" si="9"/>
        <v>0.64318174881733514</v>
      </c>
    </row>
    <row r="70" spans="2:12">
      <c r="B70" s="6">
        <v>2049</v>
      </c>
      <c r="C70" s="5">
        <f>VLOOKUP(B70,'DD Pot_Water'!$B$42:$H$86,4,FALSE)</f>
        <v>359.05259953104473</v>
      </c>
      <c r="D70" s="5">
        <f>VLOOKUP(B70,'DD Pot_Water'!$B$42:$H$86,6,FALSE)</f>
        <v>249.81106671596885</v>
      </c>
      <c r="E70" s="5">
        <f t="shared" si="5"/>
        <v>63.976138258724902</v>
      </c>
      <c r="F70" s="5">
        <f t="shared" si="6"/>
        <v>346.95437685759356</v>
      </c>
      <c r="G70" s="5">
        <f t="shared" si="7"/>
        <v>660.74158183228735</v>
      </c>
      <c r="H70" s="26">
        <f t="shared" si="8"/>
        <v>1019.7941813633321</v>
      </c>
      <c r="J70" s="67">
        <v>2049</v>
      </c>
      <c r="K70" s="72">
        <f t="shared" si="4"/>
        <v>0.35208339691744284</v>
      </c>
      <c r="L70" s="72">
        <f t="shared" si="9"/>
        <v>0.64791660308255716</v>
      </c>
    </row>
    <row r="71" spans="2:12">
      <c r="B71" s="6">
        <v>2050</v>
      </c>
      <c r="C71" s="5">
        <f>VLOOKUP(B71,'DD Pot_Water'!$B$42:$H$86,4,FALSE)</f>
        <v>362.14054126783793</v>
      </c>
      <c r="D71" s="5">
        <f>VLOOKUP(B71,'DD Pot_Water'!$B$42:$H$86,6,FALSE)</f>
        <v>251.95950407649093</v>
      </c>
      <c r="E71" s="5">
        <f t="shared" si="5"/>
        <v>66.709191292974396</v>
      </c>
      <c r="F71" s="5">
        <f t="shared" si="6"/>
        <v>361.77622666325095</v>
      </c>
      <c r="G71" s="5">
        <f t="shared" si="7"/>
        <v>680.44492203271625</v>
      </c>
      <c r="H71" s="26">
        <f t="shared" si="8"/>
        <v>1042.5854633005542</v>
      </c>
      <c r="J71" s="67">
        <v>2050</v>
      </c>
      <c r="K71" s="72">
        <f t="shared" si="4"/>
        <v>0.34734854265222082</v>
      </c>
      <c r="L71" s="72">
        <f t="shared" si="9"/>
        <v>0.65265145734777918</v>
      </c>
    </row>
    <row r="72" spans="2:12">
      <c r="B72" s="6">
        <v>2051</v>
      </c>
      <c r="C72" s="5">
        <f>VLOOKUP(B72,'DD Pot_Water'!$B$42:$H$86,4,FALSE)</f>
        <v>365.23730039936152</v>
      </c>
      <c r="D72" s="5">
        <f>VLOOKUP(B72,'DD Pot_Water'!$B$42:$H$86,6,FALSE)</f>
        <v>254.11407614481379</v>
      </c>
      <c r="E72" s="5">
        <f t="shared" si="5"/>
        <v>69.54199636490722</v>
      </c>
      <c r="F72" s="5">
        <f t="shared" si="6"/>
        <v>377.13905013528887</v>
      </c>
      <c r="G72" s="5">
        <f t="shared" si="7"/>
        <v>700.79512264500988</v>
      </c>
      <c r="H72" s="26">
        <f t="shared" si="8"/>
        <v>1066.0324230443714</v>
      </c>
      <c r="J72" s="67">
        <v>2051</v>
      </c>
      <c r="K72" s="72">
        <f t="shared" si="4"/>
        <v>0.34261368838699879</v>
      </c>
      <c r="L72" s="72">
        <f t="shared" si="9"/>
        <v>0.65738631161300121</v>
      </c>
    </row>
    <row r="73" spans="2:12">
      <c r="B73" s="6">
        <v>2052</v>
      </c>
      <c r="C73" s="5">
        <f>VLOOKUP(B73,'DD Pot_Water'!$B$42:$H$86,4,FALSE)</f>
        <v>368.34285999762056</v>
      </c>
      <c r="D73" s="5">
        <f>VLOOKUP(B73,'DD Pot_Water'!$B$42:$H$86,6,FALSE)</f>
        <v>256.27477114327468</v>
      </c>
      <c r="E73" s="5">
        <f t="shared" si="5"/>
        <v>72.478841622653746</v>
      </c>
      <c r="F73" s="5">
        <f t="shared" si="6"/>
        <v>393.06610269053846</v>
      </c>
      <c r="G73" s="5">
        <f t="shared" si="7"/>
        <v>721.81971545646684</v>
      </c>
      <c r="H73" s="26">
        <f t="shared" si="8"/>
        <v>1090.1625754540873</v>
      </c>
      <c r="J73" s="67">
        <v>2052</v>
      </c>
      <c r="K73" s="72">
        <f t="shared" si="4"/>
        <v>0.33787883412177677</v>
      </c>
      <c r="L73" s="72">
        <f t="shared" si="9"/>
        <v>0.66212116587822323</v>
      </c>
    </row>
    <row r="74" spans="2:12">
      <c r="B74" s="6">
        <v>2053</v>
      </c>
      <c r="C74" s="5">
        <f>VLOOKUP(B74,'DD Pot_Water'!$B$42:$H$86,4,FALSE)</f>
        <v>371.45720236802208</v>
      </c>
      <c r="D74" s="5">
        <f>VLOOKUP(B74,'DD Pot_Water'!$B$42:$H$86,6,FALSE)</f>
        <v>258.44157676084967</v>
      </c>
      <c r="E74" s="5">
        <f t="shared" si="5"/>
        <v>75.524258587972867</v>
      </c>
      <c r="F74" s="5">
        <f t="shared" si="6"/>
        <v>409.58195960582731</v>
      </c>
      <c r="G74" s="5">
        <f t="shared" si="7"/>
        <v>743.54779495464982</v>
      </c>
      <c r="H74" s="26">
        <f t="shared" si="8"/>
        <v>1115.0049973226719</v>
      </c>
      <c r="J74" s="67">
        <v>2053</v>
      </c>
      <c r="K74" s="72">
        <f t="shared" si="4"/>
        <v>0.33314397985655475</v>
      </c>
      <c r="L74" s="72">
        <f t="shared" si="9"/>
        <v>0.66685602014344525</v>
      </c>
    </row>
    <row r="75" spans="2:12">
      <c r="B75" s="6">
        <v>2054</v>
      </c>
      <c r="C75" s="5">
        <f>VLOOKUP(B75,'DD Pot_Water'!$B$42:$H$86,4,FALSE)</f>
        <v>374.58030903870025</v>
      </c>
      <c r="D75" s="5">
        <f>VLOOKUP(B75,'DD Pot_Water'!$B$42:$H$86,6,FALSE)</f>
        <v>260.61448014572659</v>
      </c>
      <c r="E75" s="5">
        <f t="shared" si="5"/>
        <v>78.683039683674707</v>
      </c>
      <c r="F75" s="5">
        <f t="shared" si="6"/>
        <v>426.71261107242026</v>
      </c>
      <c r="G75" s="5">
        <f t="shared" si="7"/>
        <v>766.01013090182153</v>
      </c>
      <c r="H75" s="26">
        <f t="shared" si="8"/>
        <v>1140.5904399405217</v>
      </c>
      <c r="J75" s="67">
        <v>2054</v>
      </c>
      <c r="K75" s="72">
        <f t="shared" si="4"/>
        <v>0.32840912559133273</v>
      </c>
      <c r="L75" s="72">
        <f t="shared" si="9"/>
        <v>0.67159087440866727</v>
      </c>
    </row>
    <row r="76" spans="2:12">
      <c r="B76" s="6">
        <v>2055</v>
      </c>
      <c r="C76" s="5">
        <f>VLOOKUP(B76,'DD Pot_Water'!$B$42:$H$86,4,FALSE)</f>
        <v>377.71216074972381</v>
      </c>
      <c r="D76" s="5">
        <f>VLOOKUP(B76,'DD Pot_Water'!$B$42:$H$86,6,FALSE)</f>
        <v>262.79346789779657</v>
      </c>
      <c r="E76" s="5">
        <f t="shared" si="5"/>
        <v>81.960257299165136</v>
      </c>
      <c r="F76" s="5">
        <f t="shared" si="6"/>
        <v>444.48556559197726</v>
      </c>
      <c r="G76" s="5">
        <f t="shared" si="7"/>
        <v>789.23929078893889</v>
      </c>
      <c r="H76" s="26">
        <f t="shared" si="8"/>
        <v>1166.9514515386627</v>
      </c>
      <c r="J76" s="67">
        <v>2055</v>
      </c>
      <c r="K76" s="72">
        <f t="shared" si="4"/>
        <v>0.32367427132611071</v>
      </c>
      <c r="L76" s="72">
        <f t="shared" si="9"/>
        <v>0.67632572867388929</v>
      </c>
    </row>
    <row r="77" spans="2:12">
      <c r="B77" s="6">
        <v>2056</v>
      </c>
      <c r="C77" s="5">
        <f>VLOOKUP(B77,'DD Pot_Water'!$B$42:$H$86,4,FALSE)</f>
        <v>380.852737442185</v>
      </c>
      <c r="D77" s="5">
        <f>VLOOKUP(B77,'DD Pot_Water'!$B$42:$H$86,6,FALSE)</f>
        <v>264.97852606106221</v>
      </c>
      <c r="E77" s="5">
        <f t="shared" si="5"/>
        <v>85.361284553949119</v>
      </c>
      <c r="F77" s="5">
        <f t="shared" si="6"/>
        <v>462.92996258085532</v>
      </c>
      <c r="G77" s="5">
        <f t="shared" si="7"/>
        <v>813.26977319586661</v>
      </c>
      <c r="H77" s="26">
        <f t="shared" si="8"/>
        <v>1194.1225106380516</v>
      </c>
      <c r="J77" s="67">
        <v>2056</v>
      </c>
      <c r="K77" s="72">
        <f t="shared" si="4"/>
        <v>0.31893941706088869</v>
      </c>
      <c r="L77" s="72">
        <f t="shared" si="9"/>
        <v>0.68106058293911131</v>
      </c>
    </row>
    <row r="78" spans="2:12">
      <c r="B78" s="6">
        <v>2057</v>
      </c>
      <c r="C78" s="5">
        <f>VLOOKUP(B78,'DD Pot_Water'!$B$42:$H$86,4,FALSE)</f>
        <v>384.00201824716669</v>
      </c>
      <c r="D78" s="5">
        <f>VLOOKUP(B78,'DD Pot_Water'!$B$42:$H$86,6,FALSE)</f>
        <v>267.16964011596144</v>
      </c>
      <c r="E78" s="5">
        <f t="shared" si="5"/>
        <v>88.891817938198955</v>
      </c>
      <c r="F78" s="5">
        <f t="shared" si="6"/>
        <v>482.0766951540781</v>
      </c>
      <c r="G78" s="5">
        <f t="shared" si="7"/>
        <v>838.13815320823846</v>
      </c>
      <c r="H78" s="26">
        <f t="shared" si="8"/>
        <v>1222.1401714554052</v>
      </c>
      <c r="J78" s="67">
        <v>2057</v>
      </c>
      <c r="K78" s="72">
        <f t="shared" si="4"/>
        <v>0.31420456279566666</v>
      </c>
      <c r="L78" s="72">
        <f t="shared" si="9"/>
        <v>0.68579543720433334</v>
      </c>
    </row>
    <row r="79" spans="2:12">
      <c r="B79" s="6">
        <v>2058</v>
      </c>
      <c r="C79" s="5">
        <f>VLOOKUP(B79,'DD Pot_Water'!$B$42:$H$86,4,FALSE)</f>
        <v>387.15998147458947</v>
      </c>
      <c r="D79" s="5">
        <f>VLOOKUP(B79,'DD Pot_Water'!$B$42:$H$86,6,FALSE)</f>
        <v>269.36679497160839</v>
      </c>
      <c r="E79" s="5">
        <f t="shared" si="5"/>
        <v>92.55790203141612</v>
      </c>
      <c r="F79" s="5">
        <f t="shared" si="6"/>
        <v>501.95854417919065</v>
      </c>
      <c r="G79" s="5">
        <f t="shared" si="7"/>
        <v>863.8832411822151</v>
      </c>
      <c r="H79" s="26">
        <f t="shared" si="8"/>
        <v>1251.0432226568046</v>
      </c>
      <c r="J79" s="67">
        <v>2058</v>
      </c>
      <c r="K79" s="72">
        <f t="shared" si="4"/>
        <v>0.30946970853044464</v>
      </c>
      <c r="L79" s="72">
        <f t="shared" si="9"/>
        <v>0.69053029146955536</v>
      </c>
    </row>
    <row r="80" spans="2:12">
      <c r="B80" s="6">
        <v>2059</v>
      </c>
      <c r="C80" s="5">
        <f>VLOOKUP(B80,'DD Pot_Water'!$B$42:$H$86,4,FALSE)</f>
        <v>390.32660460193512</v>
      </c>
      <c r="D80" s="5">
        <f>VLOOKUP(B80,'DD Pot_Water'!$B$42:$H$86,6,FALSE)</f>
        <v>271.56997495794707</v>
      </c>
      <c r="E80" s="5">
        <f t="shared" si="5"/>
        <v>96.365956525203217</v>
      </c>
      <c r="F80" s="5">
        <f t="shared" si="6"/>
        <v>522.61032482572693</v>
      </c>
      <c r="G80" s="5">
        <f t="shared" si="7"/>
        <v>890.5462563088771</v>
      </c>
      <c r="H80" s="26">
        <f t="shared" si="8"/>
        <v>1280.8728609108123</v>
      </c>
      <c r="J80" s="67">
        <v>2059</v>
      </c>
      <c r="K80" s="72">
        <f t="shared" si="4"/>
        <v>0.30473485426522262</v>
      </c>
      <c r="L80" s="72">
        <f t="shared" si="9"/>
        <v>0.69526514573477738</v>
      </c>
    </row>
    <row r="81" spans="2:12">
      <c r="B81" s="6">
        <v>2060</v>
      </c>
      <c r="C81" s="5">
        <f>VLOOKUP(B81,'DD Pot_Water'!$B$42:$H$86,4,FALSE)</f>
        <v>393.50186426284546</v>
      </c>
      <c r="D81" s="5">
        <f>VLOOKUP(B81,'DD Pot_Water'!$B$42:$H$86,6,FALSE)</f>
        <v>273.77916381781938</v>
      </c>
      <c r="E81" s="5">
        <f t="shared" si="5"/>
        <v>100.32280580470049</v>
      </c>
      <c r="F81" s="5">
        <f t="shared" si="6"/>
        <v>544.06904699078621</v>
      </c>
      <c r="G81" s="5">
        <f t="shared" si="7"/>
        <v>918.17101661330605</v>
      </c>
      <c r="H81" s="26">
        <f t="shared" si="8"/>
        <v>1311.6728808761516</v>
      </c>
      <c r="J81" s="67">
        <v>2060</v>
      </c>
      <c r="K81" s="72">
        <v>0.3</v>
      </c>
      <c r="L81" s="72">
        <v>0.7</v>
      </c>
    </row>
    <row r="82" spans="2:12">
      <c r="B82" s="6">
        <v>2061</v>
      </c>
      <c r="C82" s="5">
        <f>VLOOKUP(B82,'DD Pot_Water'!$B$42:$H$86,4,FALSE)</f>
        <v>397.79071043124304</v>
      </c>
      <c r="D82" s="5">
        <f>VLOOKUP(B82,'DD Pot_Water'!$B$42:$H$86,6,FALSE)</f>
        <v>276.76313117443362</v>
      </c>
      <c r="E82" s="5">
        <f t="shared" si="5"/>
        <v>101.41624174580946</v>
      </c>
      <c r="F82" s="5">
        <f t="shared" si="6"/>
        <v>549.99895141932393</v>
      </c>
      <c r="G82" s="5">
        <f>C82/K82*L82</f>
        <v>928.17832433956698</v>
      </c>
      <c r="H82" s="26">
        <f t="shared" si="8"/>
        <v>1325.9690347708101</v>
      </c>
      <c r="J82" s="67">
        <v>2061</v>
      </c>
      <c r="K82" s="72">
        <v>0.3</v>
      </c>
      <c r="L82" s="72">
        <v>0.7</v>
      </c>
    </row>
    <row r="83" spans="2:12">
      <c r="B83" s="6">
        <v>2062</v>
      </c>
      <c r="C83" s="5">
        <f>VLOOKUP(B83,'DD Pot_Water'!$B$42:$H$86,4,FALSE)</f>
        <v>402.11215183052053</v>
      </c>
      <c r="D83" s="5">
        <f>VLOOKUP(B83,'DD Pot_Water'!$B$42:$H$86,6,FALSE)</f>
        <v>279.76977668295808</v>
      </c>
      <c r="E83" s="5">
        <f t="shared" si="5"/>
        <v>102.51798780007091</v>
      </c>
      <c r="F83" s="5">
        <f t="shared" si="6"/>
        <v>555.97392312151896</v>
      </c>
      <c r="G83" s="5">
        <f t="shared" si="7"/>
        <v>938.26168760454789</v>
      </c>
      <c r="H83" s="26">
        <f t="shared" si="8"/>
        <v>1340.3738394350685</v>
      </c>
      <c r="J83" s="67">
        <v>2062</v>
      </c>
      <c r="K83" s="72">
        <v>0.3</v>
      </c>
      <c r="L83" s="72">
        <v>0.7</v>
      </c>
    </row>
    <row r="84" spans="2:12">
      <c r="B84" s="6">
        <v>2063</v>
      </c>
      <c r="C84" s="5">
        <f>VLOOKUP(B84,'DD Pot_Water'!$B$42:$H$86,4,FALSE)</f>
        <v>406.4664361844325</v>
      </c>
      <c r="D84" s="5">
        <f>VLOOKUP(B84,'DD Pot_Water'!$B$42:$H$86,6,FALSE)</f>
        <v>282.79927269734736</v>
      </c>
      <c r="E84" s="5">
        <f t="shared" si="5"/>
        <v>103.62810712434471</v>
      </c>
      <c r="F84" s="5">
        <f t="shared" si="6"/>
        <v>561.9943046086504</v>
      </c>
      <c r="G84" s="5">
        <f t="shared" si="7"/>
        <v>948.42168443034245</v>
      </c>
      <c r="H84" s="26">
        <f t="shared" si="8"/>
        <v>1354.8881206147748</v>
      </c>
      <c r="J84" s="67">
        <v>2063</v>
      </c>
      <c r="K84" s="72">
        <v>0.3</v>
      </c>
      <c r="L84" s="72">
        <v>0.7</v>
      </c>
    </row>
    <row r="85" spans="2:12">
      <c r="B85" s="6">
        <v>2064</v>
      </c>
      <c r="C85" s="5">
        <f>VLOOKUP(B85,'DD Pot_Water'!$B$42:$H$86,4,FALSE)</f>
        <v>410.85381309943426</v>
      </c>
      <c r="D85" s="5">
        <f>VLOOKUP(B85,'DD Pot_Water'!$B$42:$H$86,6,FALSE)</f>
        <v>285.85179288144599</v>
      </c>
      <c r="E85" s="5">
        <f t="shared" si="5"/>
        <v>104.74666335548302</v>
      </c>
      <c r="F85" s="5">
        <f t="shared" si="6"/>
        <v>568.06044099508415</v>
      </c>
      <c r="G85" s="5">
        <f t="shared" si="7"/>
        <v>958.65889723201326</v>
      </c>
      <c r="H85" s="26">
        <f t="shared" si="8"/>
        <v>1369.5127103314476</v>
      </c>
      <c r="J85" s="67">
        <v>2064</v>
      </c>
      <c r="K85" s="72">
        <v>0.3</v>
      </c>
      <c r="L85" s="72">
        <v>0.7</v>
      </c>
    </row>
    <row r="86" spans="2:12">
      <c r="B86" s="6">
        <v>2065</v>
      </c>
      <c r="C86" s="5">
        <f>VLOOKUP(B86,'DD Pot_Water'!$B$42:$H$86,4,FALSE)</f>
        <v>415.27453407899003</v>
      </c>
      <c r="D86" s="5">
        <f>VLOOKUP(B86,'DD Pot_Water'!$B$42:$H$86,6,FALSE)</f>
        <v>288.92751221894378</v>
      </c>
      <c r="E86" s="5">
        <f t="shared" si="5"/>
        <v>105.87372061397799</v>
      </c>
      <c r="F86" s="5">
        <f t="shared" si="6"/>
        <v>574.17268001805496</v>
      </c>
      <c r="G86" s="5">
        <f t="shared" si="7"/>
        <v>968.97391285097672</v>
      </c>
      <c r="H86" s="26">
        <f t="shared" si="8"/>
        <v>1384.2484469299668</v>
      </c>
      <c r="J86" s="67">
        <v>2065</v>
      </c>
      <c r="K86" s="72">
        <v>0.3</v>
      </c>
      <c r="L86" s="72">
        <v>0.7</v>
      </c>
    </row>
    <row r="89" spans="2:12">
      <c r="J89"/>
      <c r="K89"/>
      <c r="L89"/>
    </row>
    <row r="90" spans="2:12">
      <c r="J90"/>
      <c r="K90"/>
      <c r="L90"/>
    </row>
    <row r="91" spans="2:12">
      <c r="J91"/>
      <c r="K91"/>
      <c r="L91"/>
    </row>
    <row r="92" spans="2:12">
      <c r="J92"/>
      <c r="K92"/>
      <c r="L92"/>
    </row>
    <row r="93" spans="2:12">
      <c r="J93"/>
      <c r="K93"/>
      <c r="L93"/>
    </row>
    <row r="94" spans="2:12">
      <c r="J94"/>
      <c r="K94"/>
      <c r="L94"/>
    </row>
    <row r="95" spans="2:12">
      <c r="J95"/>
      <c r="K95"/>
      <c r="L95"/>
    </row>
    <row r="96" spans="2:12">
      <c r="J96"/>
      <c r="K96"/>
      <c r="L96"/>
    </row>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sheetData>
  <sheetProtection sheet="1" objects="1" scenarios="1"/>
  <mergeCells count="14">
    <mergeCell ref="B40:B41"/>
    <mergeCell ref="H40:H41"/>
    <mergeCell ref="M22:M23"/>
    <mergeCell ref="N22:N23"/>
    <mergeCell ref="B22:B23"/>
    <mergeCell ref="H22:H23"/>
    <mergeCell ref="J22:J23"/>
    <mergeCell ref="K22:K23"/>
    <mergeCell ref="D22:G22"/>
    <mergeCell ref="D40:G40"/>
    <mergeCell ref="K40:K41"/>
    <mergeCell ref="L40:L41"/>
    <mergeCell ref="J40:J41"/>
    <mergeCell ref="L22:L2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0D67F-A228-4ED9-A90D-A2AFFA390668}">
  <sheetPr codeName="Sheet11">
    <tabColor theme="5" tint="-0.499984740745262"/>
  </sheetPr>
  <dimension ref="B1:N97"/>
  <sheetViews>
    <sheetView showGridLines="0" zoomScaleNormal="100" workbookViewId="0">
      <selection activeCell="E57" sqref="E57"/>
    </sheetView>
  </sheetViews>
  <sheetFormatPr defaultRowHeight="13.8"/>
  <cols>
    <col min="1" max="1" width="2.69921875" customWidth="1"/>
    <col min="2" max="2" width="16.69921875" customWidth="1"/>
    <col min="3" max="10" width="21.19921875" customWidth="1"/>
    <col min="11" max="11" width="2.8984375" customWidth="1"/>
    <col min="12" max="12" width="16.69921875" customWidth="1"/>
    <col min="13" max="13" width="11.69921875" customWidth="1"/>
    <col min="14" max="14" width="20.19921875" bestFit="1" customWidth="1"/>
    <col min="15" max="15" width="8.69921875" bestFit="1" customWidth="1"/>
    <col min="16" max="16" width="20.19921875" bestFit="1" customWidth="1"/>
  </cols>
  <sheetData>
    <row r="1" spans="2:14" ht="20.25" customHeight="1">
      <c r="B1" s="8" t="s">
        <v>56</v>
      </c>
      <c r="G1" s="187"/>
      <c r="H1" s="187"/>
      <c r="I1" s="187"/>
      <c r="J1" s="187"/>
      <c r="K1" s="187"/>
      <c r="L1" s="187"/>
      <c r="M1" s="187"/>
      <c r="N1" s="187"/>
    </row>
    <row r="3" spans="2:14" ht="14.4">
      <c r="B3" s="10" t="s">
        <v>95</v>
      </c>
    </row>
    <row r="4" spans="2:14" ht="14.4">
      <c r="B4" s="33"/>
      <c r="C4" s="14" t="s">
        <v>96</v>
      </c>
      <c r="D4" s="14" t="s">
        <v>97</v>
      </c>
    </row>
    <row r="5" spans="2:14">
      <c r="B5" s="9" t="s">
        <v>25</v>
      </c>
      <c r="C5" s="9" t="s">
        <v>98</v>
      </c>
      <c r="D5" s="9" t="s">
        <v>99</v>
      </c>
      <c r="F5" s="13"/>
      <c r="G5" s="13"/>
      <c r="H5" s="13"/>
      <c r="I5" s="13"/>
      <c r="J5" s="13"/>
    </row>
    <row r="6" spans="2:14">
      <c r="B6" s="34">
        <v>1982</v>
      </c>
      <c r="C6" s="36">
        <v>1581.7</v>
      </c>
      <c r="D6" s="36">
        <v>618.1</v>
      </c>
      <c r="E6" s="56"/>
      <c r="F6" s="7"/>
      <c r="G6" s="7"/>
      <c r="H6" s="7"/>
      <c r="I6" s="7"/>
    </row>
    <row r="7" spans="2:14">
      <c r="B7" s="34">
        <v>1983</v>
      </c>
      <c r="C7" s="36">
        <v>1993.7</v>
      </c>
      <c r="D7" s="36">
        <v>618.1</v>
      </c>
      <c r="E7" s="56"/>
      <c r="F7" s="7"/>
      <c r="G7" s="7"/>
      <c r="H7" s="7"/>
      <c r="I7" s="7"/>
    </row>
    <row r="8" spans="2:14">
      <c r="B8" s="34">
        <v>1984</v>
      </c>
      <c r="C8" s="36">
        <v>2686.7</v>
      </c>
      <c r="D8" s="36">
        <v>620.20000000000005</v>
      </c>
      <c r="E8" s="56"/>
      <c r="F8" s="7"/>
      <c r="G8" s="7"/>
      <c r="H8" s="7"/>
      <c r="I8" s="7"/>
    </row>
    <row r="9" spans="2:14">
      <c r="B9" s="34">
        <v>1985</v>
      </c>
      <c r="C9" s="36">
        <v>1483.9</v>
      </c>
      <c r="D9" s="36">
        <v>620.5</v>
      </c>
      <c r="E9" s="56"/>
      <c r="F9" s="7"/>
      <c r="G9" s="7"/>
      <c r="H9" s="7"/>
      <c r="I9" s="7"/>
    </row>
    <row r="10" spans="2:14">
      <c r="B10" s="34">
        <v>1986</v>
      </c>
      <c r="C10" s="36">
        <v>2536.1</v>
      </c>
      <c r="D10" s="36">
        <v>621.70000000000005</v>
      </c>
      <c r="E10" s="56"/>
      <c r="F10" s="7"/>
      <c r="G10" s="7"/>
      <c r="H10" s="7"/>
      <c r="I10" s="7"/>
    </row>
    <row r="11" spans="2:14">
      <c r="B11" s="34">
        <v>1987</v>
      </c>
      <c r="C11" s="36">
        <v>2102.8000000000002</v>
      </c>
      <c r="D11" s="36">
        <v>622.6</v>
      </c>
      <c r="E11" s="56"/>
      <c r="F11" s="7"/>
      <c r="G11" s="7"/>
      <c r="H11" s="7"/>
      <c r="I11" s="7"/>
    </row>
    <row r="12" spans="2:14">
      <c r="B12" s="34">
        <v>1988</v>
      </c>
      <c r="C12" s="36">
        <v>2598.6</v>
      </c>
      <c r="D12" s="36">
        <v>625.6</v>
      </c>
      <c r="E12" s="56"/>
      <c r="F12" s="7"/>
      <c r="G12" s="7"/>
      <c r="H12" s="7"/>
      <c r="I12" s="7"/>
    </row>
    <row r="13" spans="2:14">
      <c r="B13" s="34">
        <v>1989</v>
      </c>
      <c r="C13" s="36">
        <v>2463.1999999999998</v>
      </c>
      <c r="D13" s="36">
        <v>626.4</v>
      </c>
      <c r="E13" s="56"/>
      <c r="F13" s="7"/>
      <c r="G13" s="7"/>
      <c r="H13" s="7"/>
      <c r="I13" s="7"/>
    </row>
    <row r="14" spans="2:14">
      <c r="B14" s="34">
        <v>1990</v>
      </c>
      <c r="C14" s="36">
        <v>1523.8</v>
      </c>
      <c r="D14" s="36">
        <v>633</v>
      </c>
      <c r="E14" s="56"/>
      <c r="F14" s="7"/>
      <c r="G14" s="7"/>
      <c r="H14" s="7"/>
      <c r="I14" s="7"/>
    </row>
    <row r="15" spans="2:14">
      <c r="B15" s="34">
        <v>1991</v>
      </c>
      <c r="C15" s="36">
        <v>1877</v>
      </c>
      <c r="D15" s="36">
        <v>639.1</v>
      </c>
      <c r="E15" s="56"/>
      <c r="F15" s="7"/>
      <c r="G15" s="7"/>
      <c r="H15" s="7"/>
      <c r="I15" s="7"/>
    </row>
    <row r="16" spans="2:14">
      <c r="B16" s="34">
        <v>1992</v>
      </c>
      <c r="C16" s="36">
        <v>2260.8000000000002</v>
      </c>
      <c r="D16" s="36">
        <v>641</v>
      </c>
      <c r="E16" s="56"/>
      <c r="F16" s="7"/>
      <c r="G16" s="7"/>
      <c r="H16" s="7"/>
      <c r="I16" s="7"/>
    </row>
    <row r="17" spans="2:9">
      <c r="B17" s="34">
        <v>1993</v>
      </c>
      <c r="C17" s="36">
        <v>2168.6999999999998</v>
      </c>
      <c r="D17" s="36">
        <v>641.4</v>
      </c>
      <c r="E17" s="56"/>
      <c r="F17" s="7"/>
      <c r="G17" s="7"/>
      <c r="H17" s="7"/>
      <c r="I17" s="7"/>
    </row>
    <row r="18" spans="2:9">
      <c r="B18" s="34">
        <v>1994</v>
      </c>
      <c r="C18" s="36">
        <v>1941.8</v>
      </c>
      <c r="D18" s="36">
        <v>646.1</v>
      </c>
      <c r="E18" s="56"/>
      <c r="F18" s="7"/>
      <c r="G18" s="7"/>
      <c r="H18" s="7"/>
      <c r="I18" s="7"/>
    </row>
    <row r="19" spans="2:9">
      <c r="B19" s="34">
        <v>1995</v>
      </c>
      <c r="C19" s="36">
        <v>2332.6</v>
      </c>
      <c r="D19" s="36">
        <v>647.5</v>
      </c>
      <c r="E19" s="56"/>
      <c r="F19" s="7"/>
      <c r="G19" s="7"/>
      <c r="H19" s="7"/>
      <c r="I19" s="7"/>
    </row>
    <row r="20" spans="2:9">
      <c r="B20" s="34">
        <v>1996</v>
      </c>
      <c r="C20" s="36">
        <v>2418</v>
      </c>
      <c r="D20" s="36">
        <v>647.5</v>
      </c>
      <c r="E20" s="56"/>
      <c r="F20" s="7"/>
      <c r="G20" s="7"/>
      <c r="H20" s="7"/>
      <c r="I20" s="7"/>
    </row>
    <row r="21" spans="2:9">
      <c r="B21" s="34">
        <v>1997</v>
      </c>
      <c r="C21" s="36">
        <v>1118.9000000000001</v>
      </c>
      <c r="D21" s="36">
        <v>647.79999999999995</v>
      </c>
      <c r="E21" s="56"/>
      <c r="F21" s="7"/>
      <c r="G21" s="7"/>
      <c r="H21" s="7"/>
      <c r="I21" s="7"/>
    </row>
    <row r="22" spans="2:9">
      <c r="B22" s="34">
        <v>1998</v>
      </c>
      <c r="C22" s="36">
        <v>2623.1</v>
      </c>
      <c r="D22" s="36">
        <v>648.1</v>
      </c>
      <c r="E22" s="56"/>
      <c r="F22" s="7"/>
      <c r="G22" s="7"/>
      <c r="H22" s="7"/>
      <c r="I22" s="7"/>
    </row>
    <row r="23" spans="2:9">
      <c r="B23" s="34">
        <v>1999</v>
      </c>
      <c r="C23" s="36">
        <v>2134</v>
      </c>
      <c r="D23" s="36">
        <v>659.9</v>
      </c>
      <c r="E23" s="56"/>
      <c r="F23" s="7"/>
      <c r="G23" s="7"/>
      <c r="H23" s="7"/>
      <c r="I23" s="7"/>
    </row>
    <row r="24" spans="2:9">
      <c r="B24" s="34">
        <v>2000</v>
      </c>
      <c r="C24" s="36">
        <v>2370.5</v>
      </c>
      <c r="D24" s="36">
        <v>682.7</v>
      </c>
      <c r="E24" s="56"/>
      <c r="F24" s="7"/>
      <c r="G24" s="7"/>
      <c r="H24" s="7"/>
      <c r="I24" s="7"/>
    </row>
    <row r="25" spans="2:9">
      <c r="B25" s="34">
        <v>2001</v>
      </c>
      <c r="C25" s="36">
        <v>2783.1</v>
      </c>
      <c r="D25" s="36">
        <v>682.3</v>
      </c>
      <c r="E25" s="56"/>
      <c r="F25" s="7"/>
      <c r="G25" s="7"/>
      <c r="H25" s="7"/>
      <c r="I25" s="7"/>
    </row>
    <row r="26" spans="2:9">
      <c r="B26" s="34">
        <v>2002</v>
      </c>
      <c r="C26" s="36">
        <v>1748.9</v>
      </c>
      <c r="D26" s="36">
        <v>687.1</v>
      </c>
      <c r="E26" s="56"/>
      <c r="F26" s="7"/>
      <c r="G26" s="7"/>
      <c r="H26" s="7"/>
      <c r="I26" s="7"/>
    </row>
    <row r="27" spans="2:9">
      <c r="B27" s="34">
        <v>2003</v>
      </c>
      <c r="C27" s="36">
        <v>2391.1999999999998</v>
      </c>
      <c r="D27" s="36">
        <v>693.4</v>
      </c>
      <c r="E27" s="56"/>
    </row>
    <row r="28" spans="2:9">
      <c r="B28" s="34">
        <v>2004</v>
      </c>
      <c r="C28" s="36">
        <v>2136.4</v>
      </c>
      <c r="D28" s="36">
        <v>696.2</v>
      </c>
      <c r="E28" s="56"/>
    </row>
    <row r="29" spans="2:9">
      <c r="B29" s="34">
        <v>2005</v>
      </c>
      <c r="C29" s="36">
        <v>1930.7</v>
      </c>
      <c r="D29" s="36">
        <v>697.9</v>
      </c>
      <c r="E29" s="56"/>
    </row>
    <row r="30" spans="2:9">
      <c r="B30" s="34">
        <v>2006</v>
      </c>
      <c r="C30" s="36">
        <v>2753.2</v>
      </c>
      <c r="D30" s="36">
        <v>699.5</v>
      </c>
      <c r="E30" s="56"/>
    </row>
    <row r="31" spans="2:9">
      <c r="B31" s="34">
        <v>2007</v>
      </c>
      <c r="C31" s="36">
        <v>2886.2</v>
      </c>
      <c r="D31" s="36">
        <v>705.1</v>
      </c>
      <c r="E31" s="56"/>
    </row>
    <row r="32" spans="2:9">
      <c r="B32" s="34">
        <v>2008</v>
      </c>
      <c r="C32" s="36">
        <v>2325.1</v>
      </c>
      <c r="D32" s="36">
        <v>710.2</v>
      </c>
      <c r="E32" s="56"/>
    </row>
    <row r="33" spans="2:12">
      <c r="B33" s="34">
        <v>2009</v>
      </c>
      <c r="C33" s="36">
        <v>1920.9</v>
      </c>
      <c r="D33" s="36">
        <v>710.3</v>
      </c>
      <c r="E33" s="56"/>
    </row>
    <row r="34" spans="2:12">
      <c r="B34" s="34">
        <v>2010</v>
      </c>
      <c r="C34" s="36">
        <v>2075.1</v>
      </c>
      <c r="D34" s="36">
        <v>712.4</v>
      </c>
      <c r="E34" s="56"/>
    </row>
    <row r="35" spans="2:12">
      <c r="B35" s="34">
        <v>2011</v>
      </c>
      <c r="C35" s="36">
        <v>2524.1999999999998</v>
      </c>
      <c r="D35" s="36">
        <v>714.3</v>
      </c>
      <c r="E35" s="56"/>
    </row>
    <row r="36" spans="2:12">
      <c r="B36" s="34">
        <v>2012</v>
      </c>
      <c r="C36" s="36">
        <v>2159.9</v>
      </c>
      <c r="D36" s="36">
        <v>715.8</v>
      </c>
      <c r="E36" s="56"/>
    </row>
    <row r="37" spans="2:12">
      <c r="B37" s="34">
        <v>2013</v>
      </c>
      <c r="C37" s="36">
        <v>2748.4</v>
      </c>
      <c r="D37" s="36">
        <v>716.5</v>
      </c>
      <c r="E37" s="56"/>
    </row>
    <row r="38" spans="2:12">
      <c r="B38" s="34">
        <v>2014</v>
      </c>
      <c r="C38" s="36">
        <v>1538.4</v>
      </c>
      <c r="D38" s="36">
        <v>718.9</v>
      </c>
      <c r="E38" s="56"/>
    </row>
    <row r="39" spans="2:12">
      <c r="B39" s="34">
        <v>2015</v>
      </c>
      <c r="C39" s="36">
        <v>1267.0999999999999</v>
      </c>
      <c r="D39" s="36">
        <v>719.1</v>
      </c>
      <c r="E39" s="56"/>
    </row>
    <row r="40" spans="2:12">
      <c r="B40" s="34">
        <v>2016</v>
      </c>
      <c r="C40" s="36">
        <v>1955.7</v>
      </c>
      <c r="D40" s="36">
        <v>719.7</v>
      </c>
      <c r="E40" s="56"/>
    </row>
    <row r="41" spans="2:12">
      <c r="B41" s="34">
        <v>2017</v>
      </c>
      <c r="C41" s="36">
        <v>2045.6</v>
      </c>
      <c r="D41" s="36">
        <v>721.5</v>
      </c>
      <c r="E41" s="56"/>
    </row>
    <row r="42" spans="2:12">
      <c r="B42" s="34">
        <v>2018</v>
      </c>
      <c r="C42" s="36">
        <v>1708.2</v>
      </c>
      <c r="D42" s="36">
        <v>724.2</v>
      </c>
      <c r="E42" s="56"/>
    </row>
    <row r="43" spans="2:12">
      <c r="B43" s="34">
        <v>2019</v>
      </c>
      <c r="C43" s="36">
        <v>1367.5</v>
      </c>
      <c r="D43" s="36">
        <v>725.7</v>
      </c>
      <c r="E43" s="56"/>
    </row>
    <row r="44" spans="2:12">
      <c r="B44" s="34">
        <v>2020</v>
      </c>
      <c r="C44" s="36">
        <v>1886.6</v>
      </c>
      <c r="D44" s="36">
        <v>728.3</v>
      </c>
      <c r="E44" s="56"/>
    </row>
    <row r="45" spans="2:12">
      <c r="B45" s="34">
        <v>2021</v>
      </c>
      <c r="C45" s="106">
        <v>2809.6</v>
      </c>
      <c r="D45" s="106"/>
      <c r="E45" s="56"/>
    </row>
    <row r="48" spans="2:12" ht="14.4">
      <c r="B48" s="10" t="s">
        <v>72</v>
      </c>
      <c r="L48" s="10" t="s">
        <v>100</v>
      </c>
    </row>
    <row r="49" spans="2:13" ht="14.4">
      <c r="B49" s="33"/>
      <c r="C49" s="14" t="s">
        <v>96</v>
      </c>
      <c r="D49" s="14" t="s">
        <v>96</v>
      </c>
      <c r="E49" s="14" t="s">
        <v>96</v>
      </c>
      <c r="F49" s="14"/>
      <c r="G49" s="14" t="s">
        <v>97</v>
      </c>
      <c r="H49" s="14" t="s">
        <v>67</v>
      </c>
      <c r="I49" s="14" t="s">
        <v>67</v>
      </c>
      <c r="J49" s="14" t="s">
        <v>67</v>
      </c>
      <c r="L49" s="14"/>
    </row>
    <row r="50" spans="2:13">
      <c r="B50" s="167" t="s">
        <v>25</v>
      </c>
      <c r="C50" s="188" t="s">
        <v>98</v>
      </c>
      <c r="D50" s="188"/>
      <c r="E50" s="189"/>
      <c r="F50" s="191" t="s">
        <v>101</v>
      </c>
      <c r="G50" s="171" t="s">
        <v>102</v>
      </c>
      <c r="H50" s="190" t="s">
        <v>103</v>
      </c>
      <c r="I50" s="188"/>
      <c r="J50" s="189"/>
      <c r="L50" s="77" t="s">
        <v>104</v>
      </c>
      <c r="M50" s="87">
        <v>0.7</v>
      </c>
    </row>
    <row r="51" spans="2:13">
      <c r="B51" s="167"/>
      <c r="C51" s="123" t="s">
        <v>5</v>
      </c>
      <c r="D51" s="75" t="s">
        <v>11</v>
      </c>
      <c r="E51" s="75" t="s">
        <v>6</v>
      </c>
      <c r="F51" s="192"/>
      <c r="G51" s="171"/>
      <c r="H51" s="75" t="s">
        <v>5</v>
      </c>
      <c r="I51" s="75" t="s">
        <v>11</v>
      </c>
      <c r="J51" s="75" t="s">
        <v>6</v>
      </c>
      <c r="L51" s="86" t="s">
        <v>105</v>
      </c>
      <c r="M51" s="78">
        <v>0.1</v>
      </c>
    </row>
    <row r="52" spans="2:13">
      <c r="B52" s="34">
        <v>2021</v>
      </c>
      <c r="C52" s="84">
        <v>2809.6</v>
      </c>
      <c r="D52" s="84">
        <v>2809.6</v>
      </c>
      <c r="E52" s="84">
        <v>2809.6</v>
      </c>
      <c r="F52" s="124">
        <v>0.66</v>
      </c>
      <c r="G52" s="37">
        <f t="shared" ref="G52" si="0">$D$44*F52</f>
        <v>480.678</v>
      </c>
      <c r="H52" s="126">
        <f>$G52*1000000*C52/1000/1000000*(1-$M$50)*(1-$M$51)</f>
        <v>364.63848537600006</v>
      </c>
      <c r="I52" s="126">
        <f t="shared" ref="I52:I96" si="1">$G52*1000000*D52/1000/1000000*(1-$M$50)*(1-$M$51)</f>
        <v>364.63848537600006</v>
      </c>
      <c r="J52" s="126">
        <f t="shared" ref="J52:J96" si="2">$G52*1000000*E52/1000/1000000*(1-$M$50)*(1-$M$51)</f>
        <v>364.63848537600006</v>
      </c>
    </row>
    <row r="53" spans="2:13">
      <c r="B53" s="34">
        <v>2022</v>
      </c>
      <c r="C53" s="6">
        <f>PERCENTILE($C$6:$C$45,0.25)</f>
        <v>1884.1999999999998</v>
      </c>
      <c r="D53" s="6">
        <f t="shared" ref="D53:D96" si="3">PERCENTILE($C$6:$C$45,0.5)</f>
        <v>2135.1999999999998</v>
      </c>
      <c r="E53" s="6">
        <f t="shared" ref="E53:E96" si="4">PERCENTILE($C$6:$C$45,0.75)</f>
        <v>2478.4499999999998</v>
      </c>
      <c r="F53" s="124">
        <v>0.66</v>
      </c>
      <c r="G53" s="37">
        <f t="shared" ref="G53:G96" si="5">$D$44*F53</f>
        <v>480.678</v>
      </c>
      <c r="H53" s="126">
        <f t="shared" ref="H53:H96" si="6">$G53*1000000*C53/1000/1000000*(1-$M$50)*(1-$M$51)</f>
        <v>244.53724165200003</v>
      </c>
      <c r="I53" s="126">
        <f t="shared" si="1"/>
        <v>277.11278971200005</v>
      </c>
      <c r="J53" s="126">
        <f t="shared" si="2"/>
        <v>321.66082505700001</v>
      </c>
    </row>
    <row r="54" spans="2:13">
      <c r="B54" s="34">
        <v>2023</v>
      </c>
      <c r="C54" s="6">
        <f t="shared" ref="C54:C96" si="7">PERCENTILE($C$6:$C$45,0.25)</f>
        <v>1884.1999999999998</v>
      </c>
      <c r="D54" s="6">
        <f t="shared" si="3"/>
        <v>2135.1999999999998</v>
      </c>
      <c r="E54" s="6">
        <f t="shared" si="4"/>
        <v>2478.4499999999998</v>
      </c>
      <c r="F54" s="124">
        <f>F53+($F$91-$F$53)/($B$91-$B$53)</f>
        <v>0.66631578947368419</v>
      </c>
      <c r="G54" s="37">
        <f t="shared" si="5"/>
        <v>485.27778947368415</v>
      </c>
      <c r="H54" s="126">
        <f t="shared" si="6"/>
        <v>246.87731095010525</v>
      </c>
      <c r="I54" s="126">
        <f t="shared" si="1"/>
        <v>279.76458674273681</v>
      </c>
      <c r="J54" s="126">
        <f t="shared" si="2"/>
        <v>324.73891907668417</v>
      </c>
    </row>
    <row r="55" spans="2:13">
      <c r="B55" s="34">
        <v>2024</v>
      </c>
      <c r="C55" s="6">
        <f t="shared" si="7"/>
        <v>1884.1999999999998</v>
      </c>
      <c r="D55" s="6">
        <f t="shared" si="3"/>
        <v>2135.1999999999998</v>
      </c>
      <c r="E55" s="6">
        <f t="shared" si="4"/>
        <v>2478.4499999999998</v>
      </c>
      <c r="F55" s="124">
        <f t="shared" ref="F55:F90" si="8">F54+($F$91-$F$53)/($B$91-$B$53)</f>
        <v>0.67263157894736836</v>
      </c>
      <c r="G55" s="37">
        <f t="shared" si="5"/>
        <v>489.87757894736836</v>
      </c>
      <c r="H55" s="126">
        <f t="shared" si="6"/>
        <v>249.21738024821056</v>
      </c>
      <c r="I55" s="126">
        <f t="shared" si="1"/>
        <v>282.41638377347368</v>
      </c>
      <c r="J55" s="126">
        <f t="shared" si="2"/>
        <v>327.81701309636844</v>
      </c>
    </row>
    <row r="56" spans="2:13">
      <c r="B56" s="34">
        <v>2025</v>
      </c>
      <c r="C56" s="6">
        <f t="shared" si="7"/>
        <v>1884.1999999999998</v>
      </c>
      <c r="D56" s="6">
        <f t="shared" si="3"/>
        <v>2135.1999999999998</v>
      </c>
      <c r="E56" s="6">
        <f t="shared" si="4"/>
        <v>2478.4499999999998</v>
      </c>
      <c r="F56" s="124">
        <f t="shared" si="8"/>
        <v>0.67894736842105252</v>
      </c>
      <c r="G56" s="37">
        <f t="shared" si="5"/>
        <v>494.47736842105252</v>
      </c>
      <c r="H56" s="126">
        <f t="shared" si="6"/>
        <v>251.55744954631572</v>
      </c>
      <c r="I56" s="126">
        <f t="shared" si="1"/>
        <v>285.06818080421044</v>
      </c>
      <c r="J56" s="126">
        <f t="shared" si="2"/>
        <v>330.8951071160526</v>
      </c>
    </row>
    <row r="57" spans="2:13">
      <c r="B57" s="34">
        <v>2026</v>
      </c>
      <c r="C57" s="6">
        <f t="shared" si="7"/>
        <v>1884.1999999999998</v>
      </c>
      <c r="D57" s="6">
        <f t="shared" si="3"/>
        <v>2135.1999999999998</v>
      </c>
      <c r="E57" s="6">
        <f t="shared" si="4"/>
        <v>2478.4499999999998</v>
      </c>
      <c r="F57" s="124">
        <f t="shared" si="8"/>
        <v>0.68526315789473669</v>
      </c>
      <c r="G57" s="37">
        <f t="shared" si="5"/>
        <v>499.07715789473667</v>
      </c>
      <c r="H57" s="126">
        <f t="shared" si="6"/>
        <v>253.89751884442094</v>
      </c>
      <c r="I57" s="126">
        <f t="shared" si="1"/>
        <v>287.71997783494726</v>
      </c>
      <c r="J57" s="126">
        <f t="shared" si="2"/>
        <v>333.97320113573676</v>
      </c>
    </row>
    <row r="58" spans="2:13">
      <c r="B58" s="34">
        <v>2027</v>
      </c>
      <c r="C58" s="6">
        <f t="shared" si="7"/>
        <v>1884.1999999999998</v>
      </c>
      <c r="D58" s="6">
        <f t="shared" si="3"/>
        <v>2135.1999999999998</v>
      </c>
      <c r="E58" s="6">
        <f t="shared" si="4"/>
        <v>2478.4499999999998</v>
      </c>
      <c r="F58" s="124">
        <f t="shared" si="8"/>
        <v>0.69157894736842085</v>
      </c>
      <c r="G58" s="37">
        <f t="shared" si="5"/>
        <v>503.67694736842088</v>
      </c>
      <c r="H58" s="126">
        <f t="shared" si="6"/>
        <v>256.23758814252631</v>
      </c>
      <c r="I58" s="126">
        <f t="shared" si="1"/>
        <v>290.37177486568419</v>
      </c>
      <c r="J58" s="126">
        <f t="shared" si="2"/>
        <v>337.05129515542097</v>
      </c>
    </row>
    <row r="59" spans="2:13">
      <c r="B59" s="34">
        <v>2028</v>
      </c>
      <c r="C59" s="6">
        <f t="shared" si="7"/>
        <v>1884.1999999999998</v>
      </c>
      <c r="D59" s="6">
        <f t="shared" si="3"/>
        <v>2135.1999999999998</v>
      </c>
      <c r="E59" s="6">
        <f t="shared" si="4"/>
        <v>2478.4499999999998</v>
      </c>
      <c r="F59" s="124">
        <f t="shared" si="8"/>
        <v>0.69789473684210501</v>
      </c>
      <c r="G59" s="37">
        <f t="shared" si="5"/>
        <v>508.27673684210504</v>
      </c>
      <c r="H59" s="126">
        <f t="shared" si="6"/>
        <v>258.57765744063147</v>
      </c>
      <c r="I59" s="126">
        <f t="shared" si="1"/>
        <v>293.02357189642095</v>
      </c>
      <c r="J59" s="126">
        <f t="shared" si="2"/>
        <v>340.12938917510513</v>
      </c>
    </row>
    <row r="60" spans="2:13">
      <c r="B60" s="34">
        <v>2029</v>
      </c>
      <c r="C60" s="6">
        <f t="shared" si="7"/>
        <v>1884.1999999999998</v>
      </c>
      <c r="D60" s="6">
        <f>PERCENTILE($C$6:$C$45,0.5)</f>
        <v>2135.1999999999998</v>
      </c>
      <c r="E60" s="6">
        <f t="shared" si="4"/>
        <v>2478.4499999999998</v>
      </c>
      <c r="F60" s="124">
        <f t="shared" si="8"/>
        <v>0.70421052631578918</v>
      </c>
      <c r="G60" s="37">
        <f t="shared" si="5"/>
        <v>512.87652631578919</v>
      </c>
      <c r="H60" s="126">
        <f t="shared" si="6"/>
        <v>260.91772673873675</v>
      </c>
      <c r="I60" s="126">
        <f t="shared" si="1"/>
        <v>295.67536892715771</v>
      </c>
      <c r="J60" s="126">
        <f t="shared" si="2"/>
        <v>343.20748319478935</v>
      </c>
    </row>
    <row r="61" spans="2:13">
      <c r="B61" s="34">
        <v>2030</v>
      </c>
      <c r="C61" s="6">
        <f t="shared" si="7"/>
        <v>1884.1999999999998</v>
      </c>
      <c r="D61" s="6">
        <f t="shared" si="3"/>
        <v>2135.1999999999998</v>
      </c>
      <c r="E61" s="6">
        <f t="shared" si="4"/>
        <v>2478.4499999999998</v>
      </c>
      <c r="F61" s="124">
        <f t="shared" si="8"/>
        <v>0.71052631578947334</v>
      </c>
      <c r="G61" s="37">
        <f t="shared" si="5"/>
        <v>517.47631578947335</v>
      </c>
      <c r="H61" s="126">
        <f t="shared" si="6"/>
        <v>263.25779603684197</v>
      </c>
      <c r="I61" s="126">
        <f t="shared" si="1"/>
        <v>298.32716595789458</v>
      </c>
      <c r="J61" s="126">
        <f t="shared" si="2"/>
        <v>346.28557721447351</v>
      </c>
    </row>
    <row r="62" spans="2:13">
      <c r="B62" s="34">
        <v>2031</v>
      </c>
      <c r="C62" s="6">
        <f t="shared" si="7"/>
        <v>1884.1999999999998</v>
      </c>
      <c r="D62" s="6">
        <f t="shared" si="3"/>
        <v>2135.1999999999998</v>
      </c>
      <c r="E62" s="6">
        <f t="shared" si="4"/>
        <v>2478.4499999999998</v>
      </c>
      <c r="F62" s="124">
        <f t="shared" si="8"/>
        <v>0.7168421052631575</v>
      </c>
      <c r="G62" s="125">
        <f t="shared" si="5"/>
        <v>522.07610526315761</v>
      </c>
      <c r="H62" s="126">
        <f t="shared" si="6"/>
        <v>265.59786533494719</v>
      </c>
      <c r="I62" s="126">
        <f t="shared" si="1"/>
        <v>300.97896298863145</v>
      </c>
      <c r="J62" s="126">
        <f t="shared" si="2"/>
        <v>349.36367123415772</v>
      </c>
    </row>
    <row r="63" spans="2:13">
      <c r="B63" s="34">
        <v>2032</v>
      </c>
      <c r="C63" s="6">
        <f t="shared" si="7"/>
        <v>1884.1999999999998</v>
      </c>
      <c r="D63" s="6">
        <f t="shared" si="3"/>
        <v>2135.1999999999998</v>
      </c>
      <c r="E63" s="6">
        <f t="shared" si="4"/>
        <v>2478.4499999999998</v>
      </c>
      <c r="F63" s="124">
        <f t="shared" si="8"/>
        <v>0.72315789473684167</v>
      </c>
      <c r="G63" s="37">
        <f t="shared" si="5"/>
        <v>526.67589473684177</v>
      </c>
      <c r="H63" s="126">
        <f t="shared" si="6"/>
        <v>267.93793463305252</v>
      </c>
      <c r="I63" s="126">
        <f t="shared" si="1"/>
        <v>303.63076001936827</v>
      </c>
      <c r="J63" s="126">
        <f t="shared" si="2"/>
        <v>352.44176525384194</v>
      </c>
    </row>
    <row r="64" spans="2:13">
      <c r="B64" s="34">
        <v>2033</v>
      </c>
      <c r="C64" s="6">
        <f t="shared" si="7"/>
        <v>1884.1999999999998</v>
      </c>
      <c r="D64" s="6">
        <f t="shared" si="3"/>
        <v>2135.1999999999998</v>
      </c>
      <c r="E64" s="6">
        <f t="shared" si="4"/>
        <v>2478.4499999999998</v>
      </c>
      <c r="F64" s="124">
        <f t="shared" si="8"/>
        <v>0.72947368421052583</v>
      </c>
      <c r="G64" s="37">
        <f t="shared" si="5"/>
        <v>531.27568421052592</v>
      </c>
      <c r="H64" s="126">
        <f t="shared" si="6"/>
        <v>270.27800393115774</v>
      </c>
      <c r="I64" s="126">
        <f t="shared" si="1"/>
        <v>306.28255705010503</v>
      </c>
      <c r="J64" s="126">
        <f t="shared" si="2"/>
        <v>355.51985927352609</v>
      </c>
    </row>
    <row r="65" spans="2:10">
      <c r="B65" s="34">
        <v>2034</v>
      </c>
      <c r="C65" s="6">
        <f t="shared" si="7"/>
        <v>1884.1999999999998</v>
      </c>
      <c r="D65" s="6">
        <f t="shared" si="3"/>
        <v>2135.1999999999998</v>
      </c>
      <c r="E65" s="6">
        <f t="shared" si="4"/>
        <v>2478.4499999999998</v>
      </c>
      <c r="F65" s="124">
        <f t="shared" si="8"/>
        <v>0.73578947368420999</v>
      </c>
      <c r="G65" s="37">
        <f t="shared" si="5"/>
        <v>535.87547368421008</v>
      </c>
      <c r="H65" s="126">
        <f t="shared" si="6"/>
        <v>272.6180732292629</v>
      </c>
      <c r="I65" s="126">
        <f t="shared" si="1"/>
        <v>308.93435408084179</v>
      </c>
      <c r="J65" s="126">
        <f t="shared" si="2"/>
        <v>358.59795329321025</v>
      </c>
    </row>
    <row r="66" spans="2:10">
      <c r="B66" s="34">
        <v>2035</v>
      </c>
      <c r="C66" s="6">
        <f t="shared" si="7"/>
        <v>1884.1999999999998</v>
      </c>
      <c r="D66" s="6">
        <f t="shared" si="3"/>
        <v>2135.1999999999998</v>
      </c>
      <c r="E66" s="6">
        <f t="shared" si="4"/>
        <v>2478.4499999999998</v>
      </c>
      <c r="F66" s="124">
        <f t="shared" si="8"/>
        <v>0.74210526315789416</v>
      </c>
      <c r="G66" s="37">
        <f t="shared" si="5"/>
        <v>540.47526315789423</v>
      </c>
      <c r="H66" s="126">
        <f t="shared" si="6"/>
        <v>274.95814252736818</v>
      </c>
      <c r="I66" s="126">
        <f t="shared" si="1"/>
        <v>311.58615111157866</v>
      </c>
      <c r="J66" s="126">
        <f t="shared" si="2"/>
        <v>361.67604731289441</v>
      </c>
    </row>
    <row r="67" spans="2:10">
      <c r="B67" s="34">
        <v>2036</v>
      </c>
      <c r="C67" s="6">
        <f t="shared" si="7"/>
        <v>1884.1999999999998</v>
      </c>
      <c r="D67" s="6">
        <f t="shared" si="3"/>
        <v>2135.1999999999998</v>
      </c>
      <c r="E67" s="6">
        <f t="shared" si="4"/>
        <v>2478.4499999999998</v>
      </c>
      <c r="F67" s="124">
        <f t="shared" si="8"/>
        <v>0.74842105263157832</v>
      </c>
      <c r="G67" s="37">
        <f t="shared" si="5"/>
        <v>545.0750526315785</v>
      </c>
      <c r="H67" s="126">
        <f t="shared" si="6"/>
        <v>277.29821182547346</v>
      </c>
      <c r="I67" s="126">
        <f t="shared" si="1"/>
        <v>314.23794814231559</v>
      </c>
      <c r="J67" s="126">
        <f t="shared" si="2"/>
        <v>364.75414133257868</v>
      </c>
    </row>
    <row r="68" spans="2:10">
      <c r="B68" s="34">
        <v>2037</v>
      </c>
      <c r="C68" s="6">
        <f t="shared" si="7"/>
        <v>1884.1999999999998</v>
      </c>
      <c r="D68" s="6">
        <f t="shared" si="3"/>
        <v>2135.1999999999998</v>
      </c>
      <c r="E68" s="6">
        <f t="shared" si="4"/>
        <v>2478.4499999999998</v>
      </c>
      <c r="F68" s="124">
        <f t="shared" si="8"/>
        <v>0.75473684210526248</v>
      </c>
      <c r="G68" s="37">
        <f t="shared" si="5"/>
        <v>549.67484210526266</v>
      </c>
      <c r="H68" s="126">
        <f t="shared" si="6"/>
        <v>279.63828112357868</v>
      </c>
      <c r="I68" s="126">
        <f t="shared" si="1"/>
        <v>316.8897451730524</v>
      </c>
      <c r="J68" s="126">
        <f t="shared" si="2"/>
        <v>367.83223535226284</v>
      </c>
    </row>
    <row r="69" spans="2:10">
      <c r="B69" s="34">
        <v>2038</v>
      </c>
      <c r="C69" s="6">
        <f t="shared" si="7"/>
        <v>1884.1999999999998</v>
      </c>
      <c r="D69" s="6">
        <f t="shared" si="3"/>
        <v>2135.1999999999998</v>
      </c>
      <c r="E69" s="6">
        <f t="shared" si="4"/>
        <v>2478.4499999999998</v>
      </c>
      <c r="F69" s="124">
        <f t="shared" si="8"/>
        <v>0.76105263157894665</v>
      </c>
      <c r="G69" s="37">
        <f t="shared" si="5"/>
        <v>554.27463157894681</v>
      </c>
      <c r="H69" s="126">
        <f t="shared" si="6"/>
        <v>281.9783504216839</v>
      </c>
      <c r="I69" s="126">
        <f t="shared" si="1"/>
        <v>319.54154220378928</v>
      </c>
      <c r="J69" s="126">
        <f t="shared" si="2"/>
        <v>370.910329371947</v>
      </c>
    </row>
    <row r="70" spans="2:10">
      <c r="B70" s="34">
        <v>2039</v>
      </c>
      <c r="C70" s="6">
        <f t="shared" si="7"/>
        <v>1884.1999999999998</v>
      </c>
      <c r="D70" s="6">
        <f t="shared" si="3"/>
        <v>2135.1999999999998</v>
      </c>
      <c r="E70" s="6">
        <f t="shared" si="4"/>
        <v>2478.4499999999998</v>
      </c>
      <c r="F70" s="124">
        <f t="shared" si="8"/>
        <v>0.76736842105263081</v>
      </c>
      <c r="G70" s="37">
        <f t="shared" si="5"/>
        <v>558.87442105263096</v>
      </c>
      <c r="H70" s="126">
        <f t="shared" si="6"/>
        <v>284.31841971978923</v>
      </c>
      <c r="I70" s="126">
        <f t="shared" si="1"/>
        <v>322.19333923452604</v>
      </c>
      <c r="J70" s="126">
        <f t="shared" si="2"/>
        <v>373.98842339163122</v>
      </c>
    </row>
    <row r="71" spans="2:10">
      <c r="B71" s="34">
        <v>2040</v>
      </c>
      <c r="C71" s="6">
        <f t="shared" si="7"/>
        <v>1884.1999999999998</v>
      </c>
      <c r="D71" s="6">
        <f t="shared" si="3"/>
        <v>2135.1999999999998</v>
      </c>
      <c r="E71" s="6">
        <f t="shared" si="4"/>
        <v>2478.4499999999998</v>
      </c>
      <c r="F71" s="124">
        <f t="shared" si="8"/>
        <v>0.77368421052631497</v>
      </c>
      <c r="G71" s="37">
        <f t="shared" si="5"/>
        <v>563.47421052631512</v>
      </c>
      <c r="H71" s="126">
        <f t="shared" si="6"/>
        <v>286.6584890178944</v>
      </c>
      <c r="I71" s="126">
        <f t="shared" si="1"/>
        <v>324.84513626526274</v>
      </c>
      <c r="J71" s="126">
        <f t="shared" si="2"/>
        <v>377.06651741131537</v>
      </c>
    </row>
    <row r="72" spans="2:10">
      <c r="B72" s="34">
        <v>2041</v>
      </c>
      <c r="C72" s="6">
        <f t="shared" si="7"/>
        <v>1884.1999999999998</v>
      </c>
      <c r="D72" s="6">
        <f t="shared" si="3"/>
        <v>2135.1999999999998</v>
      </c>
      <c r="E72" s="6">
        <f t="shared" si="4"/>
        <v>2478.4499999999998</v>
      </c>
      <c r="F72" s="124">
        <f t="shared" si="8"/>
        <v>0.77999999999999914</v>
      </c>
      <c r="G72" s="37">
        <f t="shared" si="5"/>
        <v>568.07399999999939</v>
      </c>
      <c r="H72" s="126">
        <f t="shared" si="6"/>
        <v>288.99855831599973</v>
      </c>
      <c r="I72" s="126">
        <f t="shared" si="1"/>
        <v>327.49693329599961</v>
      </c>
      <c r="J72" s="126">
        <f t="shared" si="2"/>
        <v>380.14461143099965</v>
      </c>
    </row>
    <row r="73" spans="2:10">
      <c r="B73" s="34">
        <v>2042</v>
      </c>
      <c r="C73" s="6">
        <f t="shared" si="7"/>
        <v>1884.1999999999998</v>
      </c>
      <c r="D73" s="6">
        <f t="shared" si="3"/>
        <v>2135.1999999999998</v>
      </c>
      <c r="E73" s="6">
        <f t="shared" si="4"/>
        <v>2478.4499999999998</v>
      </c>
      <c r="F73" s="124">
        <f t="shared" si="8"/>
        <v>0.7863157894736833</v>
      </c>
      <c r="G73" s="37">
        <f t="shared" si="5"/>
        <v>572.67378947368354</v>
      </c>
      <c r="H73" s="126">
        <f t="shared" si="6"/>
        <v>291.33862761410501</v>
      </c>
      <c r="I73" s="126">
        <f t="shared" si="1"/>
        <v>330.14873032673654</v>
      </c>
      <c r="J73" s="126">
        <f t="shared" si="2"/>
        <v>383.2227054506838</v>
      </c>
    </row>
    <row r="74" spans="2:10">
      <c r="B74" s="34">
        <v>2043</v>
      </c>
      <c r="C74" s="6">
        <f t="shared" si="7"/>
        <v>1884.1999999999998</v>
      </c>
      <c r="D74" s="6">
        <f t="shared" si="3"/>
        <v>2135.1999999999998</v>
      </c>
      <c r="E74" s="6">
        <f t="shared" si="4"/>
        <v>2478.4499999999998</v>
      </c>
      <c r="F74" s="124">
        <f t="shared" si="8"/>
        <v>0.79263157894736747</v>
      </c>
      <c r="G74" s="37">
        <f t="shared" si="5"/>
        <v>577.2735789473677</v>
      </c>
      <c r="H74" s="126">
        <f t="shared" si="6"/>
        <v>293.67869691221017</v>
      </c>
      <c r="I74" s="126">
        <f t="shared" si="1"/>
        <v>332.8005273574733</v>
      </c>
      <c r="J74" s="126">
        <f t="shared" si="2"/>
        <v>386.30079947036796</v>
      </c>
    </row>
    <row r="75" spans="2:10">
      <c r="B75" s="34">
        <v>2044</v>
      </c>
      <c r="C75" s="6">
        <f t="shared" si="7"/>
        <v>1884.1999999999998</v>
      </c>
      <c r="D75" s="6">
        <f t="shared" si="3"/>
        <v>2135.1999999999998</v>
      </c>
      <c r="E75" s="6">
        <f t="shared" si="4"/>
        <v>2478.4499999999998</v>
      </c>
      <c r="F75" s="124">
        <f t="shared" si="8"/>
        <v>0.79894736842105163</v>
      </c>
      <c r="G75" s="37">
        <f t="shared" si="5"/>
        <v>581.87336842105185</v>
      </c>
      <c r="H75" s="126">
        <f t="shared" si="6"/>
        <v>296.01876621031539</v>
      </c>
      <c r="I75" s="126">
        <f t="shared" si="1"/>
        <v>335.45232438821017</v>
      </c>
      <c r="J75" s="126">
        <f t="shared" si="2"/>
        <v>389.37889349005212</v>
      </c>
    </row>
    <row r="76" spans="2:10">
      <c r="B76" s="34">
        <v>2045</v>
      </c>
      <c r="C76" s="6">
        <f t="shared" si="7"/>
        <v>1884.1999999999998</v>
      </c>
      <c r="D76" s="6">
        <f t="shared" si="3"/>
        <v>2135.1999999999998</v>
      </c>
      <c r="E76" s="6">
        <f t="shared" si="4"/>
        <v>2478.4499999999998</v>
      </c>
      <c r="F76" s="124">
        <f t="shared" si="8"/>
        <v>0.80526315789473579</v>
      </c>
      <c r="G76" s="37">
        <f t="shared" si="5"/>
        <v>586.473157894736</v>
      </c>
      <c r="H76" s="126">
        <f t="shared" si="6"/>
        <v>298.35883550842073</v>
      </c>
      <c r="I76" s="126">
        <f t="shared" si="1"/>
        <v>338.10412141894693</v>
      </c>
      <c r="J76" s="126">
        <f t="shared" si="2"/>
        <v>392.45698750973634</v>
      </c>
    </row>
    <row r="77" spans="2:10">
      <c r="B77" s="34">
        <v>2046</v>
      </c>
      <c r="C77" s="6">
        <f t="shared" si="7"/>
        <v>1884.1999999999998</v>
      </c>
      <c r="D77" s="6">
        <f t="shared" si="3"/>
        <v>2135.1999999999998</v>
      </c>
      <c r="E77" s="6">
        <f t="shared" si="4"/>
        <v>2478.4499999999998</v>
      </c>
      <c r="F77" s="124">
        <f t="shared" si="8"/>
        <v>0.81157894736841996</v>
      </c>
      <c r="G77" s="37">
        <f t="shared" si="5"/>
        <v>591.07294736842027</v>
      </c>
      <c r="H77" s="126">
        <f t="shared" si="6"/>
        <v>300.698904806526</v>
      </c>
      <c r="I77" s="126">
        <f t="shared" si="1"/>
        <v>340.7559184496838</v>
      </c>
      <c r="J77" s="126">
        <f t="shared" si="2"/>
        <v>395.53508152942055</v>
      </c>
    </row>
    <row r="78" spans="2:10">
      <c r="B78" s="34">
        <v>2047</v>
      </c>
      <c r="C78" s="6">
        <f t="shared" si="7"/>
        <v>1884.1999999999998</v>
      </c>
      <c r="D78" s="6">
        <f t="shared" si="3"/>
        <v>2135.1999999999998</v>
      </c>
      <c r="E78" s="6">
        <f t="shared" si="4"/>
        <v>2478.4499999999998</v>
      </c>
      <c r="F78" s="124">
        <f t="shared" si="8"/>
        <v>0.81789473684210412</v>
      </c>
      <c r="G78" s="37">
        <f t="shared" si="5"/>
        <v>595.67273684210443</v>
      </c>
      <c r="H78" s="126">
        <f t="shared" si="6"/>
        <v>303.03897410463117</v>
      </c>
      <c r="I78" s="126">
        <f t="shared" si="1"/>
        <v>343.40771548042056</v>
      </c>
      <c r="J78" s="126">
        <f t="shared" si="2"/>
        <v>398.61317554910477</v>
      </c>
    </row>
    <row r="79" spans="2:10">
      <c r="B79" s="34">
        <v>2048</v>
      </c>
      <c r="C79" s="6">
        <f t="shared" si="7"/>
        <v>1884.1999999999998</v>
      </c>
      <c r="D79" s="6">
        <f t="shared" si="3"/>
        <v>2135.1999999999998</v>
      </c>
      <c r="E79" s="6">
        <f t="shared" si="4"/>
        <v>2478.4499999999998</v>
      </c>
      <c r="F79" s="124">
        <f t="shared" si="8"/>
        <v>0.82421052631578828</v>
      </c>
      <c r="G79" s="37">
        <f t="shared" si="5"/>
        <v>600.27252631578858</v>
      </c>
      <c r="H79" s="126">
        <f t="shared" si="6"/>
        <v>305.37904340273644</v>
      </c>
      <c r="I79" s="126">
        <f t="shared" si="1"/>
        <v>346.05951251115738</v>
      </c>
      <c r="J79" s="126">
        <f t="shared" si="2"/>
        <v>401.69126956878893</v>
      </c>
    </row>
    <row r="80" spans="2:10">
      <c r="B80" s="34">
        <v>2049</v>
      </c>
      <c r="C80" s="6">
        <f t="shared" si="7"/>
        <v>1884.1999999999998</v>
      </c>
      <c r="D80" s="6">
        <f t="shared" si="3"/>
        <v>2135.1999999999998</v>
      </c>
      <c r="E80" s="6">
        <f t="shared" si="4"/>
        <v>2478.4499999999998</v>
      </c>
      <c r="F80" s="124">
        <f t="shared" si="8"/>
        <v>0.83052631578947245</v>
      </c>
      <c r="G80" s="37">
        <f t="shared" si="5"/>
        <v>604.87231578947274</v>
      </c>
      <c r="H80" s="126">
        <f t="shared" si="6"/>
        <v>307.71911270084166</v>
      </c>
      <c r="I80" s="126">
        <f t="shared" si="1"/>
        <v>348.71130954189414</v>
      </c>
      <c r="J80" s="126">
        <f t="shared" si="2"/>
        <v>404.76936358847308</v>
      </c>
    </row>
    <row r="81" spans="2:10">
      <c r="B81" s="34">
        <v>2050</v>
      </c>
      <c r="C81" s="6">
        <f t="shared" si="7"/>
        <v>1884.1999999999998</v>
      </c>
      <c r="D81" s="6">
        <f t="shared" si="3"/>
        <v>2135.1999999999998</v>
      </c>
      <c r="E81" s="6">
        <f t="shared" si="4"/>
        <v>2478.4499999999998</v>
      </c>
      <c r="F81" s="124">
        <f t="shared" si="8"/>
        <v>0.83684210526315661</v>
      </c>
      <c r="G81" s="37">
        <f t="shared" si="5"/>
        <v>609.47210526315689</v>
      </c>
      <c r="H81" s="126">
        <f t="shared" si="6"/>
        <v>310.05918199894688</v>
      </c>
      <c r="I81" s="126">
        <f t="shared" si="1"/>
        <v>351.36310657263101</v>
      </c>
      <c r="J81" s="126">
        <f t="shared" si="2"/>
        <v>407.84745760815724</v>
      </c>
    </row>
    <row r="82" spans="2:10">
      <c r="B82" s="34">
        <v>2051</v>
      </c>
      <c r="C82" s="6">
        <f t="shared" si="7"/>
        <v>1884.1999999999998</v>
      </c>
      <c r="D82" s="6">
        <f t="shared" si="3"/>
        <v>2135.1999999999998</v>
      </c>
      <c r="E82" s="6">
        <f t="shared" si="4"/>
        <v>2478.4499999999998</v>
      </c>
      <c r="F82" s="124">
        <f t="shared" si="8"/>
        <v>0.84315789473684077</v>
      </c>
      <c r="G82" s="37">
        <f t="shared" si="5"/>
        <v>614.07189473684105</v>
      </c>
      <c r="H82" s="126">
        <f t="shared" si="6"/>
        <v>312.3992512970521</v>
      </c>
      <c r="I82" s="126">
        <f t="shared" si="1"/>
        <v>354.01490360336788</v>
      </c>
      <c r="J82" s="126">
        <f t="shared" si="2"/>
        <v>410.92555162784151</v>
      </c>
    </row>
    <row r="83" spans="2:10">
      <c r="B83" s="34">
        <v>2052</v>
      </c>
      <c r="C83" s="6">
        <f t="shared" si="7"/>
        <v>1884.1999999999998</v>
      </c>
      <c r="D83" s="6">
        <f t="shared" si="3"/>
        <v>2135.1999999999998</v>
      </c>
      <c r="E83" s="6">
        <f t="shared" si="4"/>
        <v>2478.4499999999998</v>
      </c>
      <c r="F83" s="124">
        <f t="shared" si="8"/>
        <v>0.84947368421052494</v>
      </c>
      <c r="G83" s="37">
        <f t="shared" si="5"/>
        <v>618.67168421052531</v>
      </c>
      <c r="H83" s="126">
        <f t="shared" si="6"/>
        <v>314.73932059515738</v>
      </c>
      <c r="I83" s="126">
        <f t="shared" si="1"/>
        <v>356.6667006341047</v>
      </c>
      <c r="J83" s="126">
        <f t="shared" si="2"/>
        <v>414.00364564752567</v>
      </c>
    </row>
    <row r="84" spans="2:10">
      <c r="B84" s="34">
        <v>2053</v>
      </c>
      <c r="C84" s="6">
        <f t="shared" si="7"/>
        <v>1884.1999999999998</v>
      </c>
      <c r="D84" s="6">
        <f t="shared" si="3"/>
        <v>2135.1999999999998</v>
      </c>
      <c r="E84" s="6">
        <f t="shared" si="4"/>
        <v>2478.4499999999998</v>
      </c>
      <c r="F84" s="124">
        <f t="shared" si="8"/>
        <v>0.8557894736842091</v>
      </c>
      <c r="G84" s="37">
        <f t="shared" si="5"/>
        <v>623.27147368420947</v>
      </c>
      <c r="H84" s="126">
        <f t="shared" si="6"/>
        <v>317.07938989326266</v>
      </c>
      <c r="I84" s="126">
        <f t="shared" si="1"/>
        <v>359.31849766484157</v>
      </c>
      <c r="J84" s="126">
        <f t="shared" si="2"/>
        <v>417.08173966720983</v>
      </c>
    </row>
    <row r="85" spans="2:10">
      <c r="B85" s="34">
        <v>2054</v>
      </c>
      <c r="C85" s="6">
        <f t="shared" si="7"/>
        <v>1884.1999999999998</v>
      </c>
      <c r="D85" s="6">
        <f t="shared" si="3"/>
        <v>2135.1999999999998</v>
      </c>
      <c r="E85" s="6">
        <f t="shared" si="4"/>
        <v>2478.4499999999998</v>
      </c>
      <c r="F85" s="124">
        <f t="shared" si="8"/>
        <v>0.86210526315789326</v>
      </c>
      <c r="G85" s="37">
        <f t="shared" si="5"/>
        <v>627.87126315789362</v>
      </c>
      <c r="H85" s="126">
        <f t="shared" si="6"/>
        <v>319.41945919136788</v>
      </c>
      <c r="I85" s="126">
        <f t="shared" si="1"/>
        <v>361.97029469557833</v>
      </c>
      <c r="J85" s="126">
        <f t="shared" si="2"/>
        <v>420.1598336868941</v>
      </c>
    </row>
    <row r="86" spans="2:10">
      <c r="B86" s="34">
        <v>2055</v>
      </c>
      <c r="C86" s="6">
        <f t="shared" si="7"/>
        <v>1884.1999999999998</v>
      </c>
      <c r="D86" s="6">
        <f t="shared" si="3"/>
        <v>2135.1999999999998</v>
      </c>
      <c r="E86" s="6">
        <f t="shared" si="4"/>
        <v>2478.4499999999998</v>
      </c>
      <c r="F86" s="124">
        <f t="shared" si="8"/>
        <v>0.86842105263157743</v>
      </c>
      <c r="G86" s="37">
        <f t="shared" si="5"/>
        <v>632.47105263157778</v>
      </c>
      <c r="H86" s="126">
        <f t="shared" si="6"/>
        <v>321.7595284894731</v>
      </c>
      <c r="I86" s="126">
        <f t="shared" si="1"/>
        <v>364.62209172631515</v>
      </c>
      <c r="J86" s="126">
        <f t="shared" si="2"/>
        <v>423.2379277065782</v>
      </c>
    </row>
    <row r="87" spans="2:10">
      <c r="B87" s="34">
        <v>2056</v>
      </c>
      <c r="C87" s="6">
        <f t="shared" si="7"/>
        <v>1884.1999999999998</v>
      </c>
      <c r="D87" s="6">
        <f t="shared" si="3"/>
        <v>2135.1999999999998</v>
      </c>
      <c r="E87" s="6">
        <f t="shared" si="4"/>
        <v>2478.4499999999998</v>
      </c>
      <c r="F87" s="124">
        <f t="shared" si="8"/>
        <v>0.87473684210526159</v>
      </c>
      <c r="G87" s="37">
        <f t="shared" si="5"/>
        <v>637.07084210526193</v>
      </c>
      <c r="H87" s="126">
        <f t="shared" si="6"/>
        <v>324.09959778757832</v>
      </c>
      <c r="I87" s="126">
        <f t="shared" si="1"/>
        <v>367.27388875705191</v>
      </c>
      <c r="J87" s="126">
        <f t="shared" si="2"/>
        <v>426.31602172626236</v>
      </c>
    </row>
    <row r="88" spans="2:10">
      <c r="B88" s="34">
        <v>2057</v>
      </c>
      <c r="C88" s="6">
        <f t="shared" si="7"/>
        <v>1884.1999999999998</v>
      </c>
      <c r="D88" s="6">
        <f t="shared" si="3"/>
        <v>2135.1999999999998</v>
      </c>
      <c r="E88" s="6">
        <f t="shared" si="4"/>
        <v>2478.4499999999998</v>
      </c>
      <c r="F88" s="124">
        <f t="shared" si="8"/>
        <v>0.88105263157894576</v>
      </c>
      <c r="G88" s="37">
        <f t="shared" si="5"/>
        <v>641.6706315789462</v>
      </c>
      <c r="H88" s="126">
        <f t="shared" si="6"/>
        <v>326.4396670856836</v>
      </c>
      <c r="I88" s="126">
        <f t="shared" si="1"/>
        <v>369.92568578778884</v>
      </c>
      <c r="J88" s="126">
        <f t="shared" si="2"/>
        <v>429.39411574594664</v>
      </c>
    </row>
    <row r="89" spans="2:10">
      <c r="B89" s="34">
        <v>2058</v>
      </c>
      <c r="C89" s="6">
        <f t="shared" si="7"/>
        <v>1884.1999999999998</v>
      </c>
      <c r="D89" s="6">
        <f t="shared" si="3"/>
        <v>2135.1999999999998</v>
      </c>
      <c r="E89" s="6">
        <f t="shared" si="4"/>
        <v>2478.4499999999998</v>
      </c>
      <c r="F89" s="124">
        <f t="shared" si="8"/>
        <v>0.88736842105262992</v>
      </c>
      <c r="G89" s="37">
        <f t="shared" si="5"/>
        <v>646.27042105263035</v>
      </c>
      <c r="H89" s="126">
        <f t="shared" si="6"/>
        <v>328.77973638378887</v>
      </c>
      <c r="I89" s="126">
        <f t="shared" si="1"/>
        <v>372.5774828185256</v>
      </c>
      <c r="J89" s="126">
        <f t="shared" si="2"/>
        <v>432.47220976563068</v>
      </c>
    </row>
    <row r="90" spans="2:10">
      <c r="B90" s="34">
        <v>2059</v>
      </c>
      <c r="C90" s="6">
        <f t="shared" si="7"/>
        <v>1884.1999999999998</v>
      </c>
      <c r="D90" s="6">
        <f t="shared" si="3"/>
        <v>2135.1999999999998</v>
      </c>
      <c r="E90" s="6">
        <f t="shared" si="4"/>
        <v>2478.4499999999998</v>
      </c>
      <c r="F90" s="124">
        <f t="shared" si="8"/>
        <v>0.89368421052631408</v>
      </c>
      <c r="G90" s="37">
        <f t="shared" si="5"/>
        <v>650.87021052631451</v>
      </c>
      <c r="H90" s="126">
        <f t="shared" si="6"/>
        <v>331.11980568189409</v>
      </c>
      <c r="I90" s="126">
        <f t="shared" si="1"/>
        <v>375.22927984926247</v>
      </c>
      <c r="J90" s="126">
        <f t="shared" si="2"/>
        <v>435.55030378531495</v>
      </c>
    </row>
    <row r="91" spans="2:10">
      <c r="B91" s="34">
        <v>2060</v>
      </c>
      <c r="C91" s="6">
        <f t="shared" si="7"/>
        <v>1884.1999999999998</v>
      </c>
      <c r="D91" s="6">
        <f t="shared" si="3"/>
        <v>2135.1999999999998</v>
      </c>
      <c r="E91" s="6">
        <f t="shared" si="4"/>
        <v>2478.4499999999998</v>
      </c>
      <c r="F91" s="79">
        <v>0.9</v>
      </c>
      <c r="G91" s="37">
        <f t="shared" si="5"/>
        <v>655.47</v>
      </c>
      <c r="H91" s="126">
        <f t="shared" si="6"/>
        <v>333.45987498000005</v>
      </c>
      <c r="I91" s="126">
        <f t="shared" si="1"/>
        <v>377.88107688000002</v>
      </c>
      <c r="J91" s="126">
        <f t="shared" si="2"/>
        <v>438.62839780500008</v>
      </c>
    </row>
    <row r="92" spans="2:10">
      <c r="B92" s="34">
        <v>2061</v>
      </c>
      <c r="C92" s="6">
        <f t="shared" si="7"/>
        <v>1884.1999999999998</v>
      </c>
      <c r="D92" s="6">
        <f t="shared" si="3"/>
        <v>2135.1999999999998</v>
      </c>
      <c r="E92" s="6">
        <f t="shared" si="4"/>
        <v>2478.4499999999998</v>
      </c>
      <c r="F92" s="79">
        <v>0.9</v>
      </c>
      <c r="G92" s="37">
        <f t="shared" si="5"/>
        <v>655.47</v>
      </c>
      <c r="H92" s="126">
        <f t="shared" si="6"/>
        <v>333.45987498000005</v>
      </c>
      <c r="I92" s="126">
        <f t="shared" si="1"/>
        <v>377.88107688000002</v>
      </c>
      <c r="J92" s="126">
        <f t="shared" si="2"/>
        <v>438.62839780500008</v>
      </c>
    </row>
    <row r="93" spans="2:10">
      <c r="B93" s="34">
        <v>2062</v>
      </c>
      <c r="C93" s="6">
        <f t="shared" si="7"/>
        <v>1884.1999999999998</v>
      </c>
      <c r="D93" s="6">
        <f t="shared" si="3"/>
        <v>2135.1999999999998</v>
      </c>
      <c r="E93" s="6">
        <f t="shared" si="4"/>
        <v>2478.4499999999998</v>
      </c>
      <c r="F93" s="79">
        <v>0.9</v>
      </c>
      <c r="G93" s="37">
        <f t="shared" si="5"/>
        <v>655.47</v>
      </c>
      <c r="H93" s="126">
        <f t="shared" si="6"/>
        <v>333.45987498000005</v>
      </c>
      <c r="I93" s="126">
        <f t="shared" si="1"/>
        <v>377.88107688000002</v>
      </c>
      <c r="J93" s="126">
        <f t="shared" si="2"/>
        <v>438.62839780500008</v>
      </c>
    </row>
    <row r="94" spans="2:10">
      <c r="B94" s="34">
        <v>2063</v>
      </c>
      <c r="C94" s="6">
        <f t="shared" si="7"/>
        <v>1884.1999999999998</v>
      </c>
      <c r="D94" s="6">
        <f t="shared" si="3"/>
        <v>2135.1999999999998</v>
      </c>
      <c r="E94" s="6">
        <f t="shared" si="4"/>
        <v>2478.4499999999998</v>
      </c>
      <c r="F94" s="79">
        <v>0.9</v>
      </c>
      <c r="G94" s="37">
        <f t="shared" si="5"/>
        <v>655.47</v>
      </c>
      <c r="H94" s="126">
        <f t="shared" si="6"/>
        <v>333.45987498000005</v>
      </c>
      <c r="I94" s="126">
        <f t="shared" si="1"/>
        <v>377.88107688000002</v>
      </c>
      <c r="J94" s="126">
        <f t="shared" si="2"/>
        <v>438.62839780500008</v>
      </c>
    </row>
    <row r="95" spans="2:10">
      <c r="B95" s="34">
        <v>2064</v>
      </c>
      <c r="C95" s="6">
        <f t="shared" si="7"/>
        <v>1884.1999999999998</v>
      </c>
      <c r="D95" s="6">
        <f t="shared" si="3"/>
        <v>2135.1999999999998</v>
      </c>
      <c r="E95" s="6">
        <f t="shared" si="4"/>
        <v>2478.4499999999998</v>
      </c>
      <c r="F95" s="79">
        <v>0.9</v>
      </c>
      <c r="G95" s="37">
        <f t="shared" si="5"/>
        <v>655.47</v>
      </c>
      <c r="H95" s="126">
        <f t="shared" si="6"/>
        <v>333.45987498000005</v>
      </c>
      <c r="I95" s="126">
        <f t="shared" si="1"/>
        <v>377.88107688000002</v>
      </c>
      <c r="J95" s="126">
        <f t="shared" si="2"/>
        <v>438.62839780500008</v>
      </c>
    </row>
    <row r="96" spans="2:10">
      <c r="B96" s="34">
        <v>2065</v>
      </c>
      <c r="C96" s="6">
        <f t="shared" si="7"/>
        <v>1884.1999999999998</v>
      </c>
      <c r="D96" s="6">
        <f t="shared" si="3"/>
        <v>2135.1999999999998</v>
      </c>
      <c r="E96" s="6">
        <f t="shared" si="4"/>
        <v>2478.4499999999998</v>
      </c>
      <c r="F96" s="79">
        <v>0.9</v>
      </c>
      <c r="G96" s="37">
        <f t="shared" si="5"/>
        <v>655.47</v>
      </c>
      <c r="H96" s="126">
        <f t="shared" si="6"/>
        <v>333.45987498000005</v>
      </c>
      <c r="I96" s="126">
        <f t="shared" si="1"/>
        <v>377.88107688000002</v>
      </c>
      <c r="J96" s="126">
        <f t="shared" si="2"/>
        <v>438.62839780500008</v>
      </c>
    </row>
    <row r="97" spans="2:10">
      <c r="B97" s="56"/>
      <c r="C97" s="7"/>
      <c r="D97" s="7"/>
      <c r="E97" s="7"/>
      <c r="F97" s="82"/>
      <c r="G97" s="83"/>
      <c r="H97" s="83"/>
      <c r="I97" s="83"/>
      <c r="J97" s="83"/>
    </row>
  </sheetData>
  <sheetProtection sheet="1" objects="1" scenarios="1"/>
  <mergeCells count="6">
    <mergeCell ref="B50:B51"/>
    <mergeCell ref="G1:N1"/>
    <mergeCell ref="C50:E50"/>
    <mergeCell ref="H50:J50"/>
    <mergeCell ref="G50:G51"/>
    <mergeCell ref="F50:F51"/>
  </mergeCells>
  <phoneticPr fontId="31" type="noConversion"/>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D31F8-9E01-4DE8-959F-F8594B718AF1}">
  <sheetPr codeName="Sheet14">
    <tabColor theme="5" tint="-0.499984740745262"/>
  </sheetPr>
  <dimension ref="B1:E16"/>
  <sheetViews>
    <sheetView showGridLines="0" zoomScaleNormal="100" workbookViewId="0">
      <selection activeCell="C36" sqref="C36"/>
    </sheetView>
  </sheetViews>
  <sheetFormatPr defaultRowHeight="13.8"/>
  <cols>
    <col min="1" max="1" width="2.69921875" customWidth="1"/>
    <col min="2" max="2" width="21.19921875" customWidth="1"/>
    <col min="3" max="3" width="27.5" customWidth="1"/>
    <col min="4" max="4" width="21.19921875" customWidth="1"/>
    <col min="5" max="5" width="24.59765625" bestFit="1" customWidth="1"/>
    <col min="6" max="7" width="34.19921875" customWidth="1"/>
    <col min="8" max="8" width="16.19921875" customWidth="1"/>
  </cols>
  <sheetData>
    <row r="1" spans="2:5" ht="21">
      <c r="B1" s="8" t="s">
        <v>107</v>
      </c>
    </row>
    <row r="3" spans="2:5" ht="14.4">
      <c r="B3" s="10" t="s">
        <v>66</v>
      </c>
    </row>
    <row r="4" spans="2:5">
      <c r="D4" s="14" t="s">
        <v>108</v>
      </c>
    </row>
    <row r="5" spans="2:5">
      <c r="B5" s="9" t="s">
        <v>109</v>
      </c>
      <c r="C5" s="9" t="s">
        <v>110</v>
      </c>
      <c r="D5" s="9" t="s">
        <v>111</v>
      </c>
    </row>
    <row r="6" spans="2:5">
      <c r="B6" s="6">
        <v>2002</v>
      </c>
      <c r="C6" s="4" t="s">
        <v>112</v>
      </c>
      <c r="D6" s="32">
        <v>14.6</v>
      </c>
    </row>
    <row r="7" spans="2:5">
      <c r="B7" s="6">
        <v>2002</v>
      </c>
      <c r="C7" s="4" t="s">
        <v>113</v>
      </c>
      <c r="D7" s="32">
        <v>12.4</v>
      </c>
    </row>
    <row r="8" spans="2:5">
      <c r="B8" s="6">
        <v>2004</v>
      </c>
      <c r="C8" s="4" t="s">
        <v>114</v>
      </c>
      <c r="D8" s="32" t="s">
        <v>115</v>
      </c>
    </row>
    <row r="9" spans="2:5">
      <c r="B9" s="6">
        <v>2007</v>
      </c>
      <c r="C9" s="4" t="s">
        <v>116</v>
      </c>
      <c r="D9" s="32">
        <v>54</v>
      </c>
    </row>
    <row r="10" spans="2:5">
      <c r="B10" s="6">
        <v>2010</v>
      </c>
      <c r="C10" s="4" t="s">
        <v>117</v>
      </c>
      <c r="D10" s="32">
        <v>83.2</v>
      </c>
    </row>
    <row r="11" spans="2:5">
      <c r="B11" s="6">
        <v>2017</v>
      </c>
      <c r="C11" s="4" t="s">
        <v>118</v>
      </c>
      <c r="D11" s="32">
        <v>83.2</v>
      </c>
    </row>
    <row r="12" spans="2:5" ht="14.4" thickBot="1">
      <c r="B12" s="193" t="s">
        <v>51</v>
      </c>
      <c r="C12" s="193"/>
      <c r="D12" s="105">
        <f>SUM(D6,D7,D9:D11)</f>
        <v>247.39999999999998</v>
      </c>
    </row>
    <row r="13" spans="2:5" ht="14.4" thickTop="1"/>
    <row r="14" spans="2:5" ht="14.4">
      <c r="B14" s="10" t="s">
        <v>119</v>
      </c>
      <c r="C14" s="11"/>
      <c r="D14" s="41"/>
      <c r="E14" s="40"/>
    </row>
    <row r="15" spans="2:5" ht="14.4">
      <c r="B15" t="s">
        <v>120</v>
      </c>
      <c r="C15" s="120">
        <f>ROUND(AVERAGE(D9:D11),1)</f>
        <v>73.5</v>
      </c>
      <c r="D15" s="59" t="s">
        <v>108</v>
      </c>
    </row>
    <row r="16" spans="2:5">
      <c r="B16" t="s">
        <v>121</v>
      </c>
    </row>
  </sheetData>
  <sheetProtection sheet="1" objects="1" scenarios="1"/>
  <mergeCells count="1">
    <mergeCell ref="B12:C1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DB0ED-0218-480A-894F-B91DD618FB92}">
  <sheetPr codeName="Sheet15">
    <tabColor theme="5" tint="-0.499984740745262"/>
  </sheetPr>
  <dimension ref="B1:F16"/>
  <sheetViews>
    <sheetView showGridLines="0" workbookViewId="0">
      <selection activeCell="B19" sqref="B19"/>
    </sheetView>
  </sheetViews>
  <sheetFormatPr defaultRowHeight="13.8"/>
  <cols>
    <col min="1" max="1" width="2.69921875" customWidth="1"/>
    <col min="2" max="2" width="21.19921875" customWidth="1"/>
    <col min="3" max="3" width="27.5" customWidth="1"/>
    <col min="4" max="4" width="24.59765625" bestFit="1" customWidth="1"/>
    <col min="5" max="5" width="24.59765625" customWidth="1"/>
    <col min="6" max="6" width="34.19921875" customWidth="1"/>
  </cols>
  <sheetData>
    <row r="1" spans="2:6" ht="21">
      <c r="B1" s="8" t="s">
        <v>122</v>
      </c>
    </row>
    <row r="3" spans="2:6" ht="14.4">
      <c r="B3" s="10" t="s">
        <v>66</v>
      </c>
    </row>
    <row r="4" spans="2:6">
      <c r="D4" s="14" t="s">
        <v>108</v>
      </c>
    </row>
    <row r="5" spans="2:6">
      <c r="B5" s="9" t="s">
        <v>109</v>
      </c>
      <c r="C5" s="9" t="s">
        <v>110</v>
      </c>
      <c r="D5" s="9" t="s">
        <v>111</v>
      </c>
    </row>
    <row r="6" spans="2:6">
      <c r="B6" s="6">
        <v>2005</v>
      </c>
      <c r="C6" s="4" t="s">
        <v>123</v>
      </c>
      <c r="D6" s="31">
        <v>49.8</v>
      </c>
    </row>
    <row r="7" spans="2:6">
      <c r="B7" s="6">
        <v>2013</v>
      </c>
      <c r="C7" s="4" t="s">
        <v>124</v>
      </c>
      <c r="D7" s="31">
        <v>116.25</v>
      </c>
    </row>
    <row r="8" spans="2:6">
      <c r="B8" s="6">
        <v>2018</v>
      </c>
      <c r="C8" s="4" t="s">
        <v>125</v>
      </c>
      <c r="D8" s="31">
        <v>49.8</v>
      </c>
    </row>
    <row r="9" spans="2:6">
      <c r="B9" s="6">
        <v>2020</v>
      </c>
      <c r="C9" s="4" t="s">
        <v>126</v>
      </c>
      <c r="D9" s="31">
        <v>49.8</v>
      </c>
    </row>
    <row r="10" spans="2:6">
      <c r="B10" s="6">
        <v>2021</v>
      </c>
      <c r="C10" s="4" t="s">
        <v>127</v>
      </c>
      <c r="D10" s="31">
        <v>49.8</v>
      </c>
    </row>
    <row r="11" spans="2:6" ht="14.4" thickBot="1">
      <c r="B11" s="193" t="s">
        <v>51</v>
      </c>
      <c r="C11" s="193"/>
      <c r="D11" s="104">
        <f>SUM(D6:D10)</f>
        <v>315.45000000000005</v>
      </c>
    </row>
    <row r="12" spans="2:6" ht="14.4" thickTop="1"/>
    <row r="13" spans="2:6">
      <c r="B13" s="7"/>
      <c r="C13" s="7"/>
      <c r="D13" s="41"/>
    </row>
    <row r="14" spans="2:6" ht="14.4">
      <c r="B14" s="10" t="s">
        <v>128</v>
      </c>
      <c r="C14" s="11"/>
      <c r="D14" s="41"/>
      <c r="E14" s="40"/>
      <c r="F14" s="57"/>
    </row>
    <row r="15" spans="2:6" ht="14.4">
      <c r="B15" t="s">
        <v>120</v>
      </c>
      <c r="C15" s="120">
        <f>AVERAGE(D8:D10)</f>
        <v>49.79999999999999</v>
      </c>
      <c r="D15" s="59" t="s">
        <v>108</v>
      </c>
    </row>
    <row r="16" spans="2:6">
      <c r="B16" t="s">
        <v>129</v>
      </c>
    </row>
  </sheetData>
  <sheetProtection sheet="1" objects="1" scenarios="1"/>
  <mergeCells count="1">
    <mergeCell ref="B11:C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39A48-D6EC-4351-AFEF-2E932E0D03F2}">
  <sheetPr codeName="Sheet16">
    <tabColor theme="5" tint="-0.499984740745262"/>
  </sheetPr>
  <dimension ref="B1:F18"/>
  <sheetViews>
    <sheetView showGridLines="0" workbookViewId="0">
      <selection activeCell="H28" sqref="H28"/>
    </sheetView>
  </sheetViews>
  <sheetFormatPr defaultRowHeight="13.8"/>
  <cols>
    <col min="1" max="1" width="2.69921875" customWidth="1"/>
    <col min="2" max="2" width="21.19921875" customWidth="1"/>
    <col min="3" max="3" width="23" hidden="1" customWidth="1"/>
    <col min="4" max="4" width="27" bestFit="1" customWidth="1"/>
    <col min="5" max="5" width="28.09765625" hidden="1" customWidth="1"/>
    <col min="6" max="6" width="24.19921875" bestFit="1" customWidth="1"/>
  </cols>
  <sheetData>
    <row r="1" spans="2:6" ht="21">
      <c r="B1" s="8" t="s">
        <v>130</v>
      </c>
    </row>
    <row r="3" spans="2:6" ht="14.4">
      <c r="B3" s="10" t="s">
        <v>66</v>
      </c>
    </row>
    <row r="4" spans="2:6">
      <c r="C4" s="14" t="s">
        <v>131</v>
      </c>
      <c r="D4" s="14" t="s">
        <v>132</v>
      </c>
      <c r="E4" s="14" t="s">
        <v>133</v>
      </c>
    </row>
    <row r="5" spans="2:6">
      <c r="B5" s="9" t="s">
        <v>134</v>
      </c>
      <c r="C5" s="9" t="s">
        <v>135</v>
      </c>
      <c r="D5" s="9" t="s">
        <v>135</v>
      </c>
      <c r="E5" s="115" t="s">
        <v>136</v>
      </c>
    </row>
    <row r="6" spans="2:6">
      <c r="B6" s="34" t="s">
        <v>137</v>
      </c>
      <c r="C6" s="34">
        <v>250</v>
      </c>
      <c r="D6" s="30">
        <f>C6*4.54609/1000</f>
        <v>1.1365225000000001</v>
      </c>
      <c r="E6" s="119">
        <v>0.01</v>
      </c>
    </row>
    <row r="7" spans="2:6">
      <c r="B7" s="34" t="s">
        <v>138</v>
      </c>
      <c r="C7" s="34">
        <v>5</v>
      </c>
      <c r="D7" s="30">
        <f>C7*4.54609/1000</f>
        <v>2.2730450000000003E-2</v>
      </c>
      <c r="E7" s="119">
        <v>0.16</v>
      </c>
    </row>
    <row r="8" spans="2:6" ht="14.4" thickBot="1">
      <c r="B8" s="116" t="s">
        <v>139</v>
      </c>
      <c r="D8" s="127">
        <f>D6-D7</f>
        <v>1.11379205</v>
      </c>
    </row>
    <row r="9" spans="2:6" ht="14.4" thickTop="1"/>
    <row r="10" spans="2:6">
      <c r="B10" t="s">
        <v>140</v>
      </c>
    </row>
    <row r="13" spans="2:6" ht="14.4">
      <c r="B13" s="10" t="s">
        <v>141</v>
      </c>
    </row>
    <row r="14" spans="2:6">
      <c r="B14" t="s">
        <v>142</v>
      </c>
      <c r="D14" s="121">
        <f>D8*365</f>
        <v>406.53409825</v>
      </c>
      <c r="F14" s="58" t="s">
        <v>143</v>
      </c>
    </row>
    <row r="18" spans="2:2" ht="14.4">
      <c r="B18" s="10"/>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9BCB7-88AB-46AD-AA7E-77161E8AB8A8}">
  <sheetPr codeName="Sheet4">
    <tabColor theme="2" tint="-9.9978637043366805E-2"/>
  </sheetPr>
  <dimension ref="B1:O124"/>
  <sheetViews>
    <sheetView showGridLines="0" zoomScale="70" zoomScaleNormal="70" workbookViewId="0">
      <selection activeCell="D8" sqref="D8"/>
    </sheetView>
  </sheetViews>
  <sheetFormatPr defaultRowHeight="13.8"/>
  <cols>
    <col min="1" max="1" width="2.59765625" customWidth="1"/>
    <col min="2" max="4" width="22.5" customWidth="1"/>
    <col min="5" max="6" width="22.3984375" customWidth="1"/>
    <col min="7" max="7" width="22.5" customWidth="1"/>
    <col min="8" max="14" width="22.3984375" customWidth="1"/>
    <col min="15" max="20" width="18.69921875" customWidth="1"/>
  </cols>
  <sheetData>
    <row r="1" spans="2:7" ht="21">
      <c r="B1" s="8" t="s">
        <v>154</v>
      </c>
      <c r="C1" s="8"/>
      <c r="D1" s="8"/>
      <c r="E1" s="8"/>
      <c r="F1" s="8"/>
      <c r="G1" s="8"/>
    </row>
    <row r="3" spans="2:7" ht="14.4">
      <c r="B3" s="10" t="s">
        <v>66</v>
      </c>
    </row>
    <row r="4" spans="2:7">
      <c r="B4" s="196" t="s">
        <v>158</v>
      </c>
      <c r="C4" s="196"/>
      <c r="D4" s="154">
        <f>'DD Pot_Water'!I35</f>
        <v>0.58970935438505623</v>
      </c>
    </row>
    <row r="5" spans="2:7">
      <c r="B5" s="196" t="s">
        <v>237</v>
      </c>
      <c r="C5" s="196"/>
      <c r="D5" s="155">
        <f>'DD Pot_Water'!D34*365</f>
        <v>5.6403602865872866E-5</v>
      </c>
    </row>
    <row r="7" spans="2:7" ht="14.4">
      <c r="B7" s="44" t="s">
        <v>155</v>
      </c>
    </row>
    <row r="8" spans="2:7">
      <c r="B8" s="197" t="s">
        <v>10</v>
      </c>
      <c r="C8" s="198"/>
      <c r="D8" s="146" t="s">
        <v>11</v>
      </c>
    </row>
    <row r="9" spans="2:7">
      <c r="B9" s="197" t="s">
        <v>17</v>
      </c>
      <c r="C9" s="198"/>
      <c r="D9" s="146" t="s">
        <v>11</v>
      </c>
    </row>
    <row r="10" spans="2:7">
      <c r="D10" s="7"/>
    </row>
    <row r="11" spans="2:7" ht="14.4">
      <c r="B11" s="44" t="s">
        <v>12</v>
      </c>
      <c r="D11" s="7"/>
    </row>
    <row r="12" spans="2:7" ht="26.4">
      <c r="C12" s="108" t="s">
        <v>156</v>
      </c>
      <c r="D12" s="134" t="s">
        <v>157</v>
      </c>
    </row>
    <row r="13" spans="2:7">
      <c r="B13" s="88" t="s">
        <v>34</v>
      </c>
      <c r="C13" s="147">
        <v>1.2999999999999997E-7</v>
      </c>
      <c r="D13" s="153">
        <f>C13*365</f>
        <v>4.7449999999999988E-5</v>
      </c>
    </row>
    <row r="14" spans="2:7">
      <c r="B14" s="88" t="s">
        <v>35</v>
      </c>
      <c r="C14" s="147">
        <v>1.1999999999999999E-7</v>
      </c>
      <c r="D14" s="153">
        <f>C14*365</f>
        <v>4.3799999999999994E-5</v>
      </c>
    </row>
    <row r="15" spans="2:7">
      <c r="D15" s="135"/>
    </row>
    <row r="16" spans="2:7" ht="14.4">
      <c r="B16" s="44" t="s">
        <v>16</v>
      </c>
      <c r="D16" s="56"/>
    </row>
    <row r="17" spans="2:15">
      <c r="B17" s="197" t="s">
        <v>18</v>
      </c>
      <c r="C17" s="198"/>
      <c r="D17" s="148">
        <v>2040</v>
      </c>
    </row>
    <row r="18" spans="2:15">
      <c r="B18" s="197" t="s">
        <v>19</v>
      </c>
      <c r="C18" s="198"/>
      <c r="D18" s="149">
        <v>0.03</v>
      </c>
    </row>
    <row r="19" spans="2:15">
      <c r="B19" s="197" t="s">
        <v>235</v>
      </c>
      <c r="C19" s="198"/>
      <c r="D19" s="150">
        <f>0.4</f>
        <v>0.4</v>
      </c>
    </row>
    <row r="20" spans="2:15">
      <c r="D20" s="135"/>
    </row>
    <row r="21" spans="2:15" ht="14.4">
      <c r="B21" s="10" t="s">
        <v>106</v>
      </c>
      <c r="C21" s="10"/>
      <c r="D21" s="135"/>
    </row>
    <row r="22" spans="2:15">
      <c r="B22" s="197" t="s">
        <v>159</v>
      </c>
      <c r="C22" s="198"/>
      <c r="D22" s="151">
        <v>2040</v>
      </c>
    </row>
    <row r="23" spans="2:15">
      <c r="B23" s="199" t="s">
        <v>160</v>
      </c>
      <c r="C23" s="199"/>
      <c r="D23" s="152">
        <v>2</v>
      </c>
    </row>
    <row r="25" spans="2:15" ht="14.4">
      <c r="B25" s="10"/>
      <c r="C25" s="10"/>
      <c r="D25" s="7"/>
    </row>
    <row r="26" spans="2:15" ht="14.4">
      <c r="B26" s="10" t="s">
        <v>72</v>
      </c>
    </row>
    <row r="27" spans="2:15">
      <c r="D27" s="14" t="s">
        <v>67</v>
      </c>
      <c r="E27" s="14" t="s">
        <v>67</v>
      </c>
      <c r="F27" s="14" t="s">
        <v>67</v>
      </c>
      <c r="G27" s="14" t="s">
        <v>67</v>
      </c>
      <c r="H27" s="14" t="s">
        <v>67</v>
      </c>
      <c r="I27" s="14" t="s">
        <v>67</v>
      </c>
      <c r="J27" s="14" t="s">
        <v>67</v>
      </c>
      <c r="K27" s="14" t="s">
        <v>67</v>
      </c>
      <c r="L27" s="14" t="s">
        <v>67</v>
      </c>
      <c r="M27" s="14" t="s">
        <v>67</v>
      </c>
      <c r="N27" s="14" t="s">
        <v>67</v>
      </c>
      <c r="O27" s="14"/>
    </row>
    <row r="28" spans="2:15">
      <c r="B28" s="184" t="s">
        <v>25</v>
      </c>
      <c r="C28" s="167" t="s">
        <v>4</v>
      </c>
      <c r="D28" s="200" t="s">
        <v>161</v>
      </c>
      <c r="E28" s="201"/>
      <c r="F28" s="200" t="s">
        <v>162</v>
      </c>
      <c r="G28" s="201"/>
      <c r="H28" s="200" t="s">
        <v>163</v>
      </c>
      <c r="I28" s="201"/>
      <c r="J28" s="167" t="s">
        <v>164</v>
      </c>
      <c r="K28" s="167"/>
      <c r="L28" s="167"/>
      <c r="M28" s="167"/>
      <c r="N28" s="167"/>
      <c r="O28" s="131"/>
    </row>
    <row r="29" spans="2:15">
      <c r="B29" s="184"/>
      <c r="C29" s="167"/>
      <c r="D29" s="75" t="s">
        <v>165</v>
      </c>
      <c r="E29" s="75" t="s">
        <v>166</v>
      </c>
      <c r="F29" s="75" t="s">
        <v>165</v>
      </c>
      <c r="G29" s="75" t="s">
        <v>166</v>
      </c>
      <c r="H29" s="75" t="s">
        <v>165</v>
      </c>
      <c r="I29" s="75" t="s">
        <v>166</v>
      </c>
      <c r="J29" s="75" t="s">
        <v>56</v>
      </c>
      <c r="K29" s="75" t="s">
        <v>58</v>
      </c>
      <c r="L29" s="75" t="s">
        <v>57</v>
      </c>
      <c r="M29" s="75" t="s">
        <v>167</v>
      </c>
      <c r="N29" s="75" t="s">
        <v>168</v>
      </c>
      <c r="O29" s="132"/>
    </row>
    <row r="30" spans="2:15">
      <c r="B30" s="6">
        <v>2021</v>
      </c>
      <c r="C30" s="3" cm="1">
        <f t="array" ref="C30">_xlfn.IFS($D$8="Low",'Pop FCST'!C29,$D$8="Medium",'Pop FCST'!D29,$D$8="High",'Pop FCST'!E29)</f>
        <v>5759019.1332</v>
      </c>
      <c r="D30" s="110">
        <f t="shared" ref="D30:D74" si="0">VLOOKUP($B30,$B$80:$D$124,3,FALSE)/$D$4*C30*(12+$D$23)/12</f>
        <v>632.43336196363884</v>
      </c>
      <c r="E30" s="64">
        <f>VLOOKUP($B30,$B$80:$D$124,3,FALSE)*$C30/$I80-$D30/(12+$D$23)*12</f>
        <v>117.49723066292711</v>
      </c>
      <c r="F30" s="64">
        <f t="shared" ref="F30:F74" si="1">VLOOKUP($B30,$B$80:$F$124,5,FALSE)/$D$4*$C30*(12+$D$23)/12</f>
        <v>627.02714450281553</v>
      </c>
      <c r="G30" s="64">
        <f>VLOOKUP($B30,$B$80:$F$124,5,FALSE)*$C30/$I80-$F30/(12+$D$23)*12</f>
        <v>116.49283143573257</v>
      </c>
      <c r="H30" s="64">
        <f t="shared" ref="H30:H74" si="2">VLOOKUP($B30,$B$80:$H$124,7,FALSE)/$D$4*$C30*(12+$D$23)/12</f>
        <v>637.83957942446216</v>
      </c>
      <c r="I30" s="64">
        <f>VLOOKUP($B30,$B$80:$H$124,7,FALSE)*$C30/$I80-$H30/(12+$D$23)*12</f>
        <v>118.50162989012142</v>
      </c>
      <c r="J30" s="64" cm="1">
        <f t="array" ref="J30">_xlfn.IFS($D$9="Low",'SS Water_CM'!$H52,$D$9="Medium",'SS Water_CM'!$I52,$D$9="High",'SS Water_CM'!$J52)</f>
        <v>364.63848537600006</v>
      </c>
      <c r="K30" s="64">
        <f t="shared" ref="K30:K74" si="3">IF(B30&gt;=$D$22,0,250*4546.09/1000000*0.98*365)</f>
        <v>406.53409825</v>
      </c>
      <c r="L30" s="64">
        <f>'SS Desalin_Water'!$D$11</f>
        <v>315.45000000000005</v>
      </c>
      <c r="M30" s="64">
        <f t="shared" ref="M30:M74" si="4">SUM(J30:L30)</f>
        <v>1086.6225836260001</v>
      </c>
      <c r="N30" s="64">
        <f>'SS NEWater'!$D$12</f>
        <v>247.39999999999998</v>
      </c>
      <c r="O30" s="133"/>
    </row>
    <row r="31" spans="2:15">
      <c r="B31" s="6">
        <v>2022</v>
      </c>
      <c r="C31" s="3" cm="1">
        <f t="array" ref="C31">_xlfn.IFS($D$8="Low",'Pop FCST'!C30,$D$8="Medium",'Pop FCST'!D30,$D$8="High",'Pop FCST'!E30)</f>
        <v>5832787.6786123207</v>
      </c>
      <c r="D31" s="110">
        <f t="shared" si="0"/>
        <v>630.20237905663532</v>
      </c>
      <c r="E31" s="64">
        <f t="shared" ref="E31:E74" si="5">VLOOKUP($B31,$B$80:$D$124,3,FALSE)*$C31/$I81-$D31/(12+$D$23)*12</f>
        <v>123.56712497714432</v>
      </c>
      <c r="F31" s="64">
        <f t="shared" si="1"/>
        <v>619.25144527292775</v>
      </c>
      <c r="G31" s="64">
        <f t="shared" ref="G31:G74" si="6">VLOOKUP($B31,$B$80:$F$124,5,FALSE)*$C31/$I81-$F31/(12+$D$23)*12</f>
        <v>121.41991727302036</v>
      </c>
      <c r="H31" s="64">
        <f t="shared" si="2"/>
        <v>641.15331284034266</v>
      </c>
      <c r="I31" s="64">
        <f t="shared" ref="I31:I74" si="7">VLOOKUP($B31,$B$80:$H$124,7,FALSE)*$C31/$I81-$H31/(12+$D$23)*12</f>
        <v>125.71433268126873</v>
      </c>
      <c r="J31" s="64" cm="1">
        <f t="array" ref="J31">_xlfn.IFS($D$9="Low",'SS Water_CM'!$H53,$D$9="Medium",'SS Water_CM'!$I53,$D$9="High",'SS Water_CM'!$J53)</f>
        <v>277.11278971200005</v>
      </c>
      <c r="K31" s="64">
        <f t="shared" si="3"/>
        <v>406.53409825</v>
      </c>
      <c r="L31" s="64">
        <f>'SS Desalin_Water'!$D$11</f>
        <v>315.45000000000005</v>
      </c>
      <c r="M31" s="64">
        <f t="shared" si="4"/>
        <v>999.0968879620001</v>
      </c>
      <c r="N31" s="64">
        <f>'SS NEWater'!$D$12</f>
        <v>247.39999999999998</v>
      </c>
      <c r="O31" s="133"/>
    </row>
    <row r="32" spans="2:15">
      <c r="B32" s="6">
        <v>2023</v>
      </c>
      <c r="C32" s="3" cm="1">
        <f t="array" ref="C32">_xlfn.IFS($D$8="Low",'Pop FCST'!C31,$D$8="Medium",'Pop FCST'!D31,$D$8="High",'Pop FCST'!E31)</f>
        <v>5907116.8649697751</v>
      </c>
      <c r="D32" s="110">
        <f t="shared" si="0"/>
        <v>627.76963623123618</v>
      </c>
      <c r="E32" s="64">
        <f t="shared" si="5"/>
        <v>129.67819605592661</v>
      </c>
      <c r="F32" s="64">
        <f t="shared" si="1"/>
        <v>611.13390837555619</v>
      </c>
      <c r="G32" s="64">
        <f t="shared" si="6"/>
        <v>126.24175846179094</v>
      </c>
      <c r="H32" s="64">
        <f t="shared" si="2"/>
        <v>644.40536408691617</v>
      </c>
      <c r="I32" s="64">
        <f t="shared" si="7"/>
        <v>133.11463365006239</v>
      </c>
      <c r="J32" s="64" cm="1">
        <f t="array" ref="J32">_xlfn.IFS($D$9="Low",'SS Water_CM'!$H54,$D$9="Medium",'SS Water_CM'!$I54,$D$9="High",'SS Water_CM'!$J54)</f>
        <v>279.76458674273681</v>
      </c>
      <c r="K32" s="64">
        <f t="shared" si="3"/>
        <v>406.53409825</v>
      </c>
      <c r="L32" s="64">
        <f>'SS Desalin_Water'!$D$11</f>
        <v>315.45000000000005</v>
      </c>
      <c r="M32" s="64">
        <f t="shared" si="4"/>
        <v>1001.7486849927368</v>
      </c>
      <c r="N32" s="64">
        <f>'SS NEWater'!$D$12</f>
        <v>247.39999999999998</v>
      </c>
      <c r="O32" s="133"/>
    </row>
    <row r="33" spans="2:15">
      <c r="B33" s="6">
        <v>2024</v>
      </c>
      <c r="C33" s="3" cm="1">
        <f t="array" ref="C33">_xlfn.IFS($D$8="Low",'Pop FCST'!C32,$D$8="Medium",'Pop FCST'!D32,$D$8="High",'Pop FCST'!E32)</f>
        <v>5982010.9531435454</v>
      </c>
      <c r="D33" s="110">
        <f t="shared" si="0"/>
        <v>625.13259946811775</v>
      </c>
      <c r="E33" s="64">
        <f t="shared" si="5"/>
        <v>135.82591504601783</v>
      </c>
      <c r="F33" s="64">
        <f t="shared" si="1"/>
        <v>602.67040490496072</v>
      </c>
      <c r="G33" s="64">
        <f t="shared" si="6"/>
        <v>130.94543347606248</v>
      </c>
      <c r="H33" s="64">
        <f t="shared" si="2"/>
        <v>647.59479403127477</v>
      </c>
      <c r="I33" s="64">
        <f t="shared" si="7"/>
        <v>140.70639661597329</v>
      </c>
      <c r="J33" s="64" cm="1">
        <f t="array" ref="J33">_xlfn.IFS($D$9="Low",'SS Water_CM'!$H55,$D$9="Medium",'SS Water_CM'!$I55,$D$9="High",'SS Water_CM'!$J55)</f>
        <v>282.41638377347368</v>
      </c>
      <c r="K33" s="64">
        <f t="shared" si="3"/>
        <v>406.53409825</v>
      </c>
      <c r="L33" s="64">
        <f>'SS Desalin_Water'!$D$11</f>
        <v>315.45000000000005</v>
      </c>
      <c r="M33" s="64">
        <f t="shared" si="4"/>
        <v>1004.4004820234737</v>
      </c>
      <c r="N33" s="64">
        <f>'SS NEWater'!$D$12</f>
        <v>247.39999999999998</v>
      </c>
      <c r="O33" s="133"/>
    </row>
    <row r="34" spans="2:15">
      <c r="B34" s="6">
        <v>2025</v>
      </c>
      <c r="C34" s="3" cm="1">
        <f t="array" ref="C34">_xlfn.IFS($D$8="Low",'Pop FCST'!C33,$D$8="Medium",'Pop FCST'!D33,$D$8="High",'Pop FCST'!E33)</f>
        <v>6057474.2363874363</v>
      </c>
      <c r="D34" s="110">
        <f t="shared" si="0"/>
        <v>622.28870788451525</v>
      </c>
      <c r="E34" s="64">
        <f t="shared" si="5"/>
        <v>142.00547445989014</v>
      </c>
      <c r="F34" s="64">
        <f t="shared" si="1"/>
        <v>593.85676294057794</v>
      </c>
      <c r="G34" s="64">
        <f t="shared" si="6"/>
        <v>135.51734157168988</v>
      </c>
      <c r="H34" s="64">
        <f t="shared" si="2"/>
        <v>650.72065282845267</v>
      </c>
      <c r="I34" s="64">
        <f t="shared" si="7"/>
        <v>148.49360734809079</v>
      </c>
      <c r="J34" s="64" cm="1">
        <f t="array" ref="J34">_xlfn.IFS($D$9="Low",'SS Water_CM'!$H56,$D$9="Medium",'SS Water_CM'!$I56,$D$9="High",'SS Water_CM'!$J56)</f>
        <v>285.06818080421044</v>
      </c>
      <c r="K34" s="64">
        <f t="shared" si="3"/>
        <v>406.53409825</v>
      </c>
      <c r="L34" s="64">
        <f>'SS Desalin_Water'!$D$11</f>
        <v>315.45000000000005</v>
      </c>
      <c r="M34" s="64">
        <f t="shared" si="4"/>
        <v>1007.0522790542104</v>
      </c>
      <c r="N34" s="64">
        <f>'SS NEWater'!$D$12</f>
        <v>247.39999999999998</v>
      </c>
      <c r="O34" s="133"/>
    </row>
    <row r="35" spans="2:15">
      <c r="B35" s="6">
        <v>2026</v>
      </c>
      <c r="C35" s="3" cm="1">
        <f t="array" ref="C35">_xlfn.IFS($D$8="Low",'Pop FCST'!C34,$D$8="Medium",'Pop FCST'!D34,$D$8="High",'Pop FCST'!E34)</f>
        <v>6133511.0405839812</v>
      </c>
      <c r="D35" s="110">
        <f t="shared" si="0"/>
        <v>619.23537347226409</v>
      </c>
      <c r="E35" s="64">
        <f t="shared" si="5"/>
        <v>148.21177262103936</v>
      </c>
      <c r="F35" s="64">
        <f t="shared" si="1"/>
        <v>584.68876713168152</v>
      </c>
      <c r="G35" s="64">
        <f t="shared" si="6"/>
        <v>139.9431659116583</v>
      </c>
      <c r="H35" s="64">
        <f t="shared" si="2"/>
        <v>653.781979812847</v>
      </c>
      <c r="I35" s="64">
        <f t="shared" si="7"/>
        <v>156.48037933042065</v>
      </c>
      <c r="J35" s="64" cm="1">
        <f t="array" ref="J35">_xlfn.IFS($D$9="Low",'SS Water_CM'!$H57,$D$9="Medium",'SS Water_CM'!$I57,$D$9="High",'SS Water_CM'!$J57)</f>
        <v>287.71997783494726</v>
      </c>
      <c r="K35" s="64">
        <f t="shared" si="3"/>
        <v>406.53409825</v>
      </c>
      <c r="L35" s="64">
        <f>'SS Desalin_Water'!$D$11</f>
        <v>315.45000000000005</v>
      </c>
      <c r="M35" s="64">
        <f t="shared" si="4"/>
        <v>1009.7040760849472</v>
      </c>
      <c r="N35" s="64">
        <f>'SS NEWater'!$D$12</f>
        <v>247.39999999999998</v>
      </c>
      <c r="O35" s="133"/>
    </row>
    <row r="36" spans="2:15">
      <c r="B36" s="6">
        <v>2027</v>
      </c>
      <c r="C36" s="3" cm="1">
        <f t="array" ref="C36">_xlfn.IFS($D$8="Low",'Pop FCST'!C35,$D$8="Medium",'Pop FCST'!D35,$D$8="High",'Pop FCST'!E35)</f>
        <v>6210125.7244924195</v>
      </c>
      <c r="D36" s="110">
        <f t="shared" si="0"/>
        <v>615.96998083340975</v>
      </c>
      <c r="E36" s="64">
        <f t="shared" si="5"/>
        <v>154.43939712615213</v>
      </c>
      <c r="F36" s="64">
        <f t="shared" si="1"/>
        <v>575.16215827821281</v>
      </c>
      <c r="G36" s="64">
        <f t="shared" si="6"/>
        <v>144.20783437218734</v>
      </c>
      <c r="H36" s="64">
        <f t="shared" si="2"/>
        <v>656.77780338860691</v>
      </c>
      <c r="I36" s="64">
        <f t="shared" si="7"/>
        <v>164.67095988011727</v>
      </c>
      <c r="J36" s="64" cm="1">
        <f t="array" ref="J36">_xlfn.IFS($D$9="Low",'SS Water_CM'!$H58,$D$9="Medium",'SS Water_CM'!$I58,$D$9="High",'SS Water_CM'!$J58)</f>
        <v>290.37177486568419</v>
      </c>
      <c r="K36" s="64">
        <f t="shared" si="3"/>
        <v>406.53409825</v>
      </c>
      <c r="L36" s="64">
        <f>'SS Desalin_Water'!$D$11</f>
        <v>315.45000000000005</v>
      </c>
      <c r="M36" s="64">
        <f t="shared" si="4"/>
        <v>1012.3558731156843</v>
      </c>
      <c r="N36" s="64">
        <f>'SS NEWater'!$D$12</f>
        <v>247.39999999999998</v>
      </c>
      <c r="O36" s="133"/>
    </row>
    <row r="37" spans="2:15">
      <c r="B37" s="6">
        <v>2028</v>
      </c>
      <c r="C37" s="3" cm="1">
        <f t="array" ref="C37">_xlfn.IFS($D$8="Low",'Pop FCST'!C36,$D$8="Medium",'Pop FCST'!D36,$D$8="High",'Pop FCST'!E36)</f>
        <v>6287322.6799985627</v>
      </c>
      <c r="D37" s="110">
        <f t="shared" si="0"/>
        <v>612.48988691336649</v>
      </c>
      <c r="E37" s="64">
        <f t="shared" si="5"/>
        <v>160.68260725182074</v>
      </c>
      <c r="F37" s="64">
        <f t="shared" si="1"/>
        <v>565.27263290775079</v>
      </c>
      <c r="G37" s="64">
        <f t="shared" si="6"/>
        <v>148.29547785915707</v>
      </c>
      <c r="H37" s="64">
        <f t="shared" si="2"/>
        <v>659.70714091898287</v>
      </c>
      <c r="I37" s="64">
        <f t="shared" si="7"/>
        <v>173.06973664448435</v>
      </c>
      <c r="J37" s="64" cm="1">
        <f t="array" ref="J37">_xlfn.IFS($D$9="Low",'SS Water_CM'!$H59,$D$9="Medium",'SS Water_CM'!$I59,$D$9="High",'SS Water_CM'!$J59)</f>
        <v>293.02357189642095</v>
      </c>
      <c r="K37" s="64">
        <f t="shared" si="3"/>
        <v>406.53409825</v>
      </c>
      <c r="L37" s="64">
        <f>'SS Desalin_Water'!$D$11</f>
        <v>315.45000000000005</v>
      </c>
      <c r="M37" s="64">
        <f t="shared" si="4"/>
        <v>1015.007670146421</v>
      </c>
      <c r="N37" s="64">
        <f>'SS NEWater'!$D$12</f>
        <v>247.39999999999998</v>
      </c>
      <c r="O37" s="133"/>
    </row>
    <row r="38" spans="2:15">
      <c r="B38" s="6">
        <v>2029</v>
      </c>
      <c r="C38" s="3" cm="1">
        <f t="array" ref="C38">_xlfn.IFS($D$8="Low",'Pop FCST'!C37,$D$8="Medium",'Pop FCST'!D37,$D$8="High",'Pop FCST'!E37)</f>
        <v>6365106.3323665522</v>
      </c>
      <c r="D38" s="110">
        <f t="shared" si="0"/>
        <v>608.79242073160242</v>
      </c>
      <c r="E38" s="64">
        <f t="shared" si="5"/>
        <v>166.93531522734111</v>
      </c>
      <c r="F38" s="64">
        <f t="shared" si="1"/>
        <v>555.01584284858302</v>
      </c>
      <c r="G38" s="64">
        <f t="shared" si="6"/>
        <v>152.18938594990129</v>
      </c>
      <c r="H38" s="64">
        <f t="shared" si="2"/>
        <v>662.5689986146225</v>
      </c>
      <c r="I38" s="64">
        <f t="shared" si="7"/>
        <v>181.68124450478092</v>
      </c>
      <c r="J38" s="64" cm="1">
        <f t="array" ref="J38">_xlfn.IFS($D$9="Low",'SS Water_CM'!$H60,$D$9="Medium",'SS Water_CM'!$I60,$D$9="High",'SS Water_CM'!$J60)</f>
        <v>295.67536892715771</v>
      </c>
      <c r="K38" s="64">
        <f t="shared" si="3"/>
        <v>406.53409825</v>
      </c>
      <c r="L38" s="64">
        <f>'SS Desalin_Water'!$D$11</f>
        <v>315.45000000000005</v>
      </c>
      <c r="M38" s="64">
        <f t="shared" si="4"/>
        <v>1017.6594671771577</v>
      </c>
      <c r="N38" s="64">
        <f>'SS NEWater'!$D$12</f>
        <v>247.39999999999998</v>
      </c>
      <c r="O38" s="133"/>
    </row>
    <row r="39" spans="2:15">
      <c r="B39" s="6">
        <v>2030</v>
      </c>
      <c r="C39" s="3" cm="1">
        <f t="array" ref="C39">_xlfn.IFS($D$8="Low",'Pop FCST'!C38,$D$8="Medium",'Pop FCST'!D38,$D$8="High",'Pop FCST'!E38)</f>
        <v>6443481.140492538</v>
      </c>
      <c r="D39" s="110">
        <f t="shared" si="0"/>
        <v>604.87488310982735</v>
      </c>
      <c r="E39" s="64">
        <f t="shared" si="5"/>
        <v>173.19106628841462</v>
      </c>
      <c r="F39" s="64">
        <f t="shared" si="1"/>
        <v>544.38739479884464</v>
      </c>
      <c r="G39" s="64">
        <f t="shared" si="6"/>
        <v>155.87195965957312</v>
      </c>
      <c r="H39" s="64">
        <f t="shared" si="2"/>
        <v>665.36237142081018</v>
      </c>
      <c r="I39" s="64">
        <f t="shared" si="7"/>
        <v>190.51017291725611</v>
      </c>
      <c r="J39" s="64" cm="1">
        <f t="array" ref="J39">_xlfn.IFS($D$9="Low",'SS Water_CM'!$H61,$D$9="Medium",'SS Water_CM'!$I61,$D$9="High",'SS Water_CM'!$J61)</f>
        <v>298.32716595789458</v>
      </c>
      <c r="K39" s="64">
        <f t="shared" si="3"/>
        <v>406.53409825</v>
      </c>
      <c r="L39" s="64">
        <f>'SS Desalin_Water'!$D$11</f>
        <v>315.45000000000005</v>
      </c>
      <c r="M39" s="64">
        <f t="shared" si="4"/>
        <v>1020.3112642078946</v>
      </c>
      <c r="N39" s="64">
        <f>'SS NEWater'!$D$12</f>
        <v>247.39999999999998</v>
      </c>
      <c r="O39" s="133"/>
    </row>
    <row r="40" spans="2:15">
      <c r="B40" s="6">
        <v>2031</v>
      </c>
      <c r="C40" s="3" cm="1">
        <f t="array" ref="C40">_xlfn.IFS($D$8="Low",'Pop FCST'!C39,$D$8="Medium",'Pop FCST'!D39,$D$8="High",'Pop FCST'!E39)</f>
        <v>6522451.5971602816</v>
      </c>
      <c r="D40" s="110">
        <f t="shared" si="0"/>
        <v>610.7181804387584</v>
      </c>
      <c r="E40" s="64">
        <f t="shared" si="5"/>
        <v>182.42518887558731</v>
      </c>
      <c r="F40" s="64">
        <f t="shared" si="1"/>
        <v>549.64636239488243</v>
      </c>
      <c r="G40" s="64">
        <f t="shared" si="6"/>
        <v>164.18266998802881</v>
      </c>
      <c r="H40" s="64">
        <f t="shared" si="2"/>
        <v>671.78999848263425</v>
      </c>
      <c r="I40" s="64">
        <f t="shared" si="7"/>
        <v>200.66770776314615</v>
      </c>
      <c r="J40" s="64" cm="1">
        <f t="array" ref="J40">_xlfn.IFS($D$9="Low",'SS Water_CM'!$H62,$D$9="Medium",'SS Water_CM'!$I62,$D$9="High",'SS Water_CM'!$J62)</f>
        <v>300.97896298863145</v>
      </c>
      <c r="K40" s="64">
        <f t="shared" si="3"/>
        <v>406.53409825</v>
      </c>
      <c r="L40" s="64">
        <f>'SS Desalin_Water'!$D$11</f>
        <v>315.45000000000005</v>
      </c>
      <c r="M40" s="64">
        <f t="shared" si="4"/>
        <v>1022.9630612386316</v>
      </c>
      <c r="N40" s="64">
        <f>'SS NEWater'!$D$12</f>
        <v>247.39999999999998</v>
      </c>
      <c r="O40" s="133"/>
    </row>
    <row r="41" spans="2:15">
      <c r="B41" s="6">
        <v>2032</v>
      </c>
      <c r="C41" s="3" cm="1">
        <f t="array" ref="C41">_xlfn.IFS($D$8="Low",'Pop FCST'!C40,$D$8="Medium",'Pop FCST'!D40,$D$8="High",'Pop FCST'!E40)</f>
        <v>6602022.2292986996</v>
      </c>
      <c r="D41" s="110">
        <f t="shared" si="0"/>
        <v>616.57951291557879</v>
      </c>
      <c r="E41" s="64">
        <f t="shared" si="5"/>
        <v>191.97671920774599</v>
      </c>
      <c r="F41" s="64">
        <f t="shared" si="1"/>
        <v>554.92156162402091</v>
      </c>
      <c r="G41" s="64">
        <f t="shared" si="6"/>
        <v>172.77904728697138</v>
      </c>
      <c r="H41" s="64">
        <f t="shared" si="2"/>
        <v>678.23746420713667</v>
      </c>
      <c r="I41" s="64">
        <f t="shared" si="7"/>
        <v>211.1743911285206</v>
      </c>
      <c r="J41" s="64" cm="1">
        <f t="array" ref="J41">_xlfn.IFS($D$9="Low",'SS Water_CM'!$H63,$D$9="Medium",'SS Water_CM'!$I63,$D$9="High",'SS Water_CM'!$J63)</f>
        <v>303.63076001936827</v>
      </c>
      <c r="K41" s="64">
        <f t="shared" si="3"/>
        <v>406.53409825</v>
      </c>
      <c r="L41" s="64">
        <f>'SS Desalin_Water'!$D$11</f>
        <v>315.45000000000005</v>
      </c>
      <c r="M41" s="64">
        <f t="shared" si="4"/>
        <v>1025.6148582693684</v>
      </c>
      <c r="N41" s="64">
        <f>'SS NEWater'!$D$12</f>
        <v>247.39999999999998</v>
      </c>
      <c r="O41" s="133"/>
    </row>
    <row r="42" spans="2:15">
      <c r="B42" s="6">
        <v>2033</v>
      </c>
      <c r="C42" s="3" cm="1">
        <f t="array" ref="C42">_xlfn.IFS($D$8="Low",'Pop FCST'!C41,$D$8="Medium",'Pop FCST'!D41,$D$8="High",'Pop FCST'!E41)</f>
        <v>6682197.5982413702</v>
      </c>
      <c r="D42" s="110">
        <f t="shared" si="0"/>
        <v>622.45887204582516</v>
      </c>
      <c r="E42" s="64">
        <f t="shared" si="5"/>
        <v>201.85670588242294</v>
      </c>
      <c r="F42" s="64">
        <f t="shared" si="1"/>
        <v>560.2129848412427</v>
      </c>
      <c r="G42" s="64">
        <f t="shared" si="6"/>
        <v>181.67103529418057</v>
      </c>
      <c r="H42" s="64">
        <f t="shared" si="2"/>
        <v>684.70475925040785</v>
      </c>
      <c r="I42" s="64">
        <f t="shared" si="7"/>
        <v>222.04237647066509</v>
      </c>
      <c r="J42" s="64" cm="1">
        <f t="array" ref="J42">_xlfn.IFS($D$9="Low",'SS Water_CM'!$H64,$D$9="Medium",'SS Water_CM'!$I64,$D$9="High",'SS Water_CM'!$J64)</f>
        <v>306.28255705010503</v>
      </c>
      <c r="K42" s="64">
        <f t="shared" si="3"/>
        <v>406.53409825</v>
      </c>
      <c r="L42" s="64">
        <f>'SS Desalin_Water'!$D$11</f>
        <v>315.45000000000005</v>
      </c>
      <c r="M42" s="64">
        <f t="shared" si="4"/>
        <v>1028.266655300105</v>
      </c>
      <c r="N42" s="64">
        <f>'SS NEWater'!$D$12</f>
        <v>247.39999999999998</v>
      </c>
      <c r="O42" s="133"/>
    </row>
    <row r="43" spans="2:15">
      <c r="B43" s="6">
        <v>2034</v>
      </c>
      <c r="C43" s="3" cm="1">
        <f t="array" ref="C43">_xlfn.IFS($D$8="Low",'Pop FCST'!C42,$D$8="Medium",'Pop FCST'!D42,$D$8="High",'Pop FCST'!E42)</f>
        <v>6762982.2999880053</v>
      </c>
      <c r="D43" s="110">
        <f t="shared" si="0"/>
        <v>628.35624816420841</v>
      </c>
      <c r="E43" s="64">
        <f t="shared" si="5"/>
        <v>212.07669134218656</v>
      </c>
      <c r="F43" s="64">
        <f t="shared" si="1"/>
        <v>565.52062334778759</v>
      </c>
      <c r="G43" s="64">
        <f t="shared" si="6"/>
        <v>190.86902220796793</v>
      </c>
      <c r="H43" s="64">
        <f t="shared" si="2"/>
        <v>691.19187298062934</v>
      </c>
      <c r="I43" s="64">
        <f t="shared" si="7"/>
        <v>233.28436047640537</v>
      </c>
      <c r="J43" s="64" cm="1">
        <f t="array" ref="J43">_xlfn.IFS($D$9="Low",'SS Water_CM'!$H65,$D$9="Medium",'SS Water_CM'!$I65,$D$9="High",'SS Water_CM'!$J65)</f>
        <v>308.93435408084179</v>
      </c>
      <c r="K43" s="64">
        <f t="shared" si="3"/>
        <v>406.53409825</v>
      </c>
      <c r="L43" s="64">
        <f>'SS Desalin_Water'!$D$11</f>
        <v>315.45000000000005</v>
      </c>
      <c r="M43" s="64">
        <f t="shared" si="4"/>
        <v>1030.9184523308418</v>
      </c>
      <c r="N43" s="64">
        <f>'SS NEWater'!$D$12</f>
        <v>247.39999999999998</v>
      </c>
      <c r="O43" s="133"/>
    </row>
    <row r="44" spans="2:15">
      <c r="B44" s="6">
        <v>2035</v>
      </c>
      <c r="C44" s="3" cm="1">
        <f t="array" ref="C44">_xlfn.IFS($D$8="Low",'Pop FCST'!C43,$D$8="Medium",'Pop FCST'!D43,$D$8="High",'Pop FCST'!E43)</f>
        <v>6844380.9654679149</v>
      </c>
      <c r="D44" s="110">
        <f t="shared" si="0"/>
        <v>634.27163041730705</v>
      </c>
      <c r="E44" s="64">
        <f t="shared" si="5"/>
        <v>222.64873975686021</v>
      </c>
      <c r="F44" s="64">
        <f t="shared" si="1"/>
        <v>570.8444673755763</v>
      </c>
      <c r="G44" s="64">
        <f t="shared" si="6"/>
        <v>200.38386578117411</v>
      </c>
      <c r="H44" s="64">
        <f t="shared" si="2"/>
        <v>697.6987934590378</v>
      </c>
      <c r="I44" s="64">
        <f t="shared" si="7"/>
        <v>244.91361373254631</v>
      </c>
      <c r="J44" s="64" cm="1">
        <f t="array" ref="J44">_xlfn.IFS($D$9="Low",'SS Water_CM'!$H66,$D$9="Medium",'SS Water_CM'!$I66,$D$9="High",'SS Water_CM'!$J66)</f>
        <v>311.58615111157866</v>
      </c>
      <c r="K44" s="64">
        <f t="shared" si="3"/>
        <v>406.53409825</v>
      </c>
      <c r="L44" s="64">
        <f>'SS Desalin_Water'!$D$11</f>
        <v>315.45000000000005</v>
      </c>
      <c r="M44" s="64">
        <f t="shared" si="4"/>
        <v>1033.5702493615786</v>
      </c>
      <c r="N44" s="64">
        <f>'SS NEWater'!$D$12</f>
        <v>247.39999999999998</v>
      </c>
      <c r="O44" s="133"/>
    </row>
    <row r="45" spans="2:15">
      <c r="B45" s="6">
        <v>2036</v>
      </c>
      <c r="C45" s="3" cm="1">
        <f t="array" ref="C45">_xlfn.IFS($D$8="Low",'Pop FCST'!C44,$D$8="Medium",'Pop FCST'!D44,$D$8="High",'Pop FCST'!E44)</f>
        <v>6926398.2608054718</v>
      </c>
      <c r="D45" s="110">
        <f t="shared" si="0"/>
        <v>640.20500674606637</v>
      </c>
      <c r="E45" s="64">
        <f t="shared" si="5"/>
        <v>233.58546681963708</v>
      </c>
      <c r="F45" s="64">
        <f t="shared" si="1"/>
        <v>576.18450607145962</v>
      </c>
      <c r="G45" s="64">
        <f t="shared" si="6"/>
        <v>210.22692013767346</v>
      </c>
      <c r="H45" s="64">
        <f t="shared" si="2"/>
        <v>704.22550742067313</v>
      </c>
      <c r="I45" s="64">
        <f t="shared" si="7"/>
        <v>256.94401350160092</v>
      </c>
      <c r="J45" s="64" cm="1">
        <f t="array" ref="J45">_xlfn.IFS($D$9="Low",'SS Water_CM'!$H67,$D$9="Medium",'SS Water_CM'!$I67,$D$9="High",'SS Water_CM'!$J67)</f>
        <v>314.23794814231559</v>
      </c>
      <c r="K45" s="64">
        <f t="shared" si="3"/>
        <v>406.53409825</v>
      </c>
      <c r="L45" s="64">
        <f>'SS Desalin_Water'!$D$11</f>
        <v>315.45000000000005</v>
      </c>
      <c r="M45" s="64">
        <f t="shared" si="4"/>
        <v>1036.2220463923156</v>
      </c>
      <c r="N45" s="64">
        <f>'SS NEWater'!$D$12</f>
        <v>247.39999999999998</v>
      </c>
      <c r="O45" s="133"/>
    </row>
    <row r="46" spans="2:15">
      <c r="B46" s="6">
        <v>2037</v>
      </c>
      <c r="C46" s="3" cm="1">
        <f t="array" ref="C46">_xlfn.IFS($D$8="Low",'Pop FCST'!C45,$D$8="Medium",'Pop FCST'!D45,$D$8="High",'Pop FCST'!E45)</f>
        <v>7009038.8875875939</v>
      </c>
      <c r="D46" s="110">
        <f t="shared" si="0"/>
        <v>646.15636386810013</v>
      </c>
      <c r="E46" s="64">
        <f t="shared" si="5"/>
        <v>244.9000716122157</v>
      </c>
      <c r="F46" s="64">
        <f t="shared" si="1"/>
        <v>581.54072748128999</v>
      </c>
      <c r="G46" s="64">
        <f t="shared" si="6"/>
        <v>220.41006445099407</v>
      </c>
      <c r="H46" s="64">
        <f t="shared" si="2"/>
        <v>710.77200025491027</v>
      </c>
      <c r="I46" s="64">
        <f t="shared" si="7"/>
        <v>269.39007877343738</v>
      </c>
      <c r="J46" s="64" cm="1">
        <f t="array" ref="J46">_xlfn.IFS($D$9="Low",'SS Water_CM'!$H68,$D$9="Medium",'SS Water_CM'!$I68,$D$9="High",'SS Water_CM'!$J68)</f>
        <v>316.8897451730524</v>
      </c>
      <c r="K46" s="64">
        <f t="shared" si="3"/>
        <v>406.53409825</v>
      </c>
      <c r="L46" s="64">
        <f>'SS Desalin_Water'!$D$11</f>
        <v>315.45000000000005</v>
      </c>
      <c r="M46" s="64">
        <f t="shared" si="4"/>
        <v>1038.8738434230524</v>
      </c>
      <c r="N46" s="64">
        <f>'SS NEWater'!$D$12</f>
        <v>247.39999999999998</v>
      </c>
      <c r="O46" s="133"/>
    </row>
    <row r="47" spans="2:15">
      <c r="B47" s="6">
        <v>2038</v>
      </c>
      <c r="C47" s="3" cm="1">
        <f t="array" ref="C47">_xlfn.IFS($D$8="Low",'Pop FCST'!C46,$D$8="Medium",'Pop FCST'!D46,$D$8="High",'Pop FCST'!E46)</f>
        <v>7092307.5831332598</v>
      </c>
      <c r="D47" s="110">
        <f t="shared" si="0"/>
        <v>652.12568725979133</v>
      </c>
      <c r="E47" s="64">
        <f t="shared" si="5"/>
        <v>256.60637070860889</v>
      </c>
      <c r="F47" s="64">
        <f t="shared" si="1"/>
        <v>586.91311853381217</v>
      </c>
      <c r="G47" s="64">
        <f t="shared" si="6"/>
        <v>230.94573363774799</v>
      </c>
      <c r="H47" s="64">
        <f t="shared" si="2"/>
        <v>717.33825598577062</v>
      </c>
      <c r="I47" s="64">
        <f t="shared" si="7"/>
        <v>282.26700777946985</v>
      </c>
      <c r="J47" s="64" cm="1">
        <f t="array" ref="J47">_xlfn.IFS($D$9="Low",'SS Water_CM'!$H69,$D$9="Medium",'SS Water_CM'!$I69,$D$9="High",'SS Water_CM'!$J69)</f>
        <v>319.54154220378928</v>
      </c>
      <c r="K47" s="64">
        <f t="shared" si="3"/>
        <v>406.53409825</v>
      </c>
      <c r="L47" s="64">
        <f>'SS Desalin_Water'!$D$11</f>
        <v>315.45000000000005</v>
      </c>
      <c r="M47" s="64">
        <f t="shared" si="4"/>
        <v>1041.5256404537893</v>
      </c>
      <c r="N47" s="64">
        <f>'SS NEWater'!$D$12</f>
        <v>247.39999999999998</v>
      </c>
      <c r="O47" s="133"/>
    </row>
    <row r="48" spans="2:15">
      <c r="B48" s="6">
        <v>2039</v>
      </c>
      <c r="C48" s="3" cm="1">
        <f t="array" ref="C48">_xlfn.IFS($D$8="Low",'Pop FCST'!C47,$D$8="Medium",'Pop FCST'!D47,$D$8="High",'Pop FCST'!E47)</f>
        <v>7176209.1207650732</v>
      </c>
      <c r="D48" s="110">
        <f t="shared" si="0"/>
        <v>658.11296113819435</v>
      </c>
      <c r="E48" s="64">
        <f t="shared" si="5"/>
        <v>268.71883470337218</v>
      </c>
      <c r="F48" s="64">
        <f t="shared" si="1"/>
        <v>592.30166502437487</v>
      </c>
      <c r="G48" s="64">
        <f t="shared" si="6"/>
        <v>241.84695123303499</v>
      </c>
      <c r="H48" s="64">
        <f t="shared" si="2"/>
        <v>723.92425725201383</v>
      </c>
      <c r="I48" s="64">
        <f t="shared" si="7"/>
        <v>295.59071817370955</v>
      </c>
      <c r="J48" s="64" cm="1">
        <f t="array" ref="J48">_xlfn.IFS($D$9="Low",'SS Water_CM'!$H70,$D$9="Medium",'SS Water_CM'!$I70,$D$9="High",'SS Water_CM'!$J70)</f>
        <v>322.19333923452604</v>
      </c>
      <c r="K48" s="64">
        <f t="shared" si="3"/>
        <v>406.53409825</v>
      </c>
      <c r="L48" s="64">
        <f>'SS Desalin_Water'!$D$11</f>
        <v>315.45000000000005</v>
      </c>
      <c r="M48" s="64">
        <f t="shared" si="4"/>
        <v>1044.1774374845261</v>
      </c>
      <c r="N48" s="64">
        <f>'SS NEWater'!$D$12</f>
        <v>247.39999999999998</v>
      </c>
      <c r="O48" s="133"/>
    </row>
    <row r="49" spans="2:15">
      <c r="B49" s="6">
        <v>2040</v>
      </c>
      <c r="C49" s="3" cm="1">
        <f t="array" ref="C49">_xlfn.IFS($D$8="Low",'Pop FCST'!C48,$D$8="Medium",'Pop FCST'!D48,$D$8="High",'Pop FCST'!E48)</f>
        <v>7260748.3100828882</v>
      </c>
      <c r="D49" s="110">
        <f t="shared" si="0"/>
        <v>656.14875042141739</v>
      </c>
      <c r="E49" s="64">
        <f t="shared" si="5"/>
        <v>277.87759583941033</v>
      </c>
      <c r="F49" s="64">
        <f t="shared" si="1"/>
        <v>590.53387537927563</v>
      </c>
      <c r="G49" s="64">
        <f t="shared" si="6"/>
        <v>250.08983625546921</v>
      </c>
      <c r="H49" s="64">
        <f t="shared" si="2"/>
        <v>721.76362546355904</v>
      </c>
      <c r="I49" s="64">
        <f t="shared" si="7"/>
        <v>305.66535542335146</v>
      </c>
      <c r="J49" s="64" cm="1">
        <f t="array" ref="J49">_xlfn.IFS($D$9="Low",'SS Water_CM'!$H71,$D$9="Medium",'SS Water_CM'!$I71,$D$9="High",'SS Water_CM'!$J71)</f>
        <v>324.84513626526274</v>
      </c>
      <c r="K49" s="64">
        <f t="shared" si="3"/>
        <v>0</v>
      </c>
      <c r="L49" s="64">
        <f>'SS Desalin_Water'!$D$11</f>
        <v>315.45000000000005</v>
      </c>
      <c r="M49" s="64">
        <f t="shared" si="4"/>
        <v>640.29513626526273</v>
      </c>
      <c r="N49" s="64">
        <f>'SS NEWater'!$D$12</f>
        <v>247.39999999999998</v>
      </c>
      <c r="O49" s="133"/>
    </row>
    <row r="50" spans="2:15">
      <c r="B50" s="6">
        <v>2041</v>
      </c>
      <c r="C50" s="3" cm="1">
        <f t="array" ref="C50">_xlfn.IFS($D$8="Low",'Pop FCST'!C49,$D$8="Medium",'Pop FCST'!D49,$D$8="High",'Pop FCST'!E49)</f>
        <v>7345929.9972395189</v>
      </c>
      <c r="D50" s="110">
        <f t="shared" si="0"/>
        <v>662.09959532687878</v>
      </c>
      <c r="E50" s="64">
        <f t="shared" si="5"/>
        <v>290.6929638857099</v>
      </c>
      <c r="F50" s="64">
        <f t="shared" si="1"/>
        <v>595.88963579419101</v>
      </c>
      <c r="G50" s="64">
        <f t="shared" si="6"/>
        <v>261.62366749713891</v>
      </c>
      <c r="H50" s="64">
        <f t="shared" si="2"/>
        <v>728.3095548595669</v>
      </c>
      <c r="I50" s="64">
        <f t="shared" si="7"/>
        <v>319.76226027428095</v>
      </c>
      <c r="J50" s="64" cm="1">
        <f t="array" ref="J50">_xlfn.IFS($D$9="Low",'SS Water_CM'!$H72,$D$9="Medium",'SS Water_CM'!$I72,$D$9="High",'SS Water_CM'!$J72)</f>
        <v>327.49693329599961</v>
      </c>
      <c r="K50" s="64">
        <f t="shared" si="3"/>
        <v>0</v>
      </c>
      <c r="L50" s="64">
        <f>'SS Desalin_Water'!$D$11</f>
        <v>315.45000000000005</v>
      </c>
      <c r="M50" s="64">
        <f t="shared" si="4"/>
        <v>642.94693329599966</v>
      </c>
      <c r="N50" s="64">
        <f>'SS NEWater'!$D$12</f>
        <v>247.39999999999998</v>
      </c>
      <c r="O50" s="133"/>
    </row>
    <row r="51" spans="2:15">
      <c r="B51" s="6">
        <v>2042</v>
      </c>
      <c r="C51" s="3" cm="1">
        <f t="array" ref="C51">_xlfn.IFS($D$8="Low",'Pop FCST'!C50,$D$8="Medium",'Pop FCST'!D50,$D$8="High",'Pop FCST'!E50)</f>
        <v>7431759.0652185399</v>
      </c>
      <c r="D51" s="110">
        <f t="shared" si="0"/>
        <v>668.06812088540312</v>
      </c>
      <c r="E51" s="64">
        <f t="shared" si="5"/>
        <v>303.9567919190506</v>
      </c>
      <c r="F51" s="64">
        <f t="shared" si="1"/>
        <v>601.26130879686264</v>
      </c>
      <c r="G51" s="64">
        <f t="shared" si="6"/>
        <v>273.56111272714566</v>
      </c>
      <c r="H51" s="64">
        <f t="shared" si="2"/>
        <v>734.8749329739436</v>
      </c>
      <c r="I51" s="64">
        <f t="shared" si="7"/>
        <v>334.35247111095566</v>
      </c>
      <c r="J51" s="64" cm="1">
        <f t="array" ref="J51">_xlfn.IFS($D$9="Low",'SS Water_CM'!$H73,$D$9="Medium",'SS Water_CM'!$I73,$D$9="High",'SS Water_CM'!$J73)</f>
        <v>330.14873032673654</v>
      </c>
      <c r="K51" s="64">
        <f t="shared" si="3"/>
        <v>0</v>
      </c>
      <c r="L51" s="64">
        <f>'SS Desalin_Water'!$D$11</f>
        <v>315.45000000000005</v>
      </c>
      <c r="M51" s="64">
        <f t="shared" si="4"/>
        <v>645.59873032673659</v>
      </c>
      <c r="N51" s="64">
        <f>'SS NEWater'!$D$12</f>
        <v>247.39999999999998</v>
      </c>
      <c r="O51" s="133"/>
    </row>
    <row r="52" spans="2:15">
      <c r="B52" s="6">
        <v>2043</v>
      </c>
      <c r="C52" s="3" cm="1">
        <f t="array" ref="C52">_xlfn.IFS($D$8="Low",'Pop FCST'!C51,$D$8="Medium",'Pop FCST'!D51,$D$8="High",'Pop FCST'!E51)</f>
        <v>7518240.434114201</v>
      </c>
      <c r="D52" s="110">
        <f t="shared" si="0"/>
        <v>674.05430634369566</v>
      </c>
      <c r="E52" s="64">
        <f t="shared" si="5"/>
        <v>317.68637784661985</v>
      </c>
      <c r="F52" s="64">
        <f t="shared" si="1"/>
        <v>606.64887570932592</v>
      </c>
      <c r="G52" s="64">
        <f t="shared" si="6"/>
        <v>285.91774006195794</v>
      </c>
      <c r="H52" s="64">
        <f t="shared" si="2"/>
        <v>741.45973697806528</v>
      </c>
      <c r="I52" s="64">
        <f t="shared" si="7"/>
        <v>349.45501563128232</v>
      </c>
      <c r="J52" s="64" cm="1">
        <f t="array" ref="J52">_xlfn.IFS($D$9="Low",'SS Water_CM'!$H74,$D$9="Medium",'SS Water_CM'!$I74,$D$9="High",'SS Water_CM'!$J74)</f>
        <v>332.8005273574733</v>
      </c>
      <c r="K52" s="64">
        <f t="shared" si="3"/>
        <v>0</v>
      </c>
      <c r="L52" s="64">
        <f>'SS Desalin_Water'!$D$11</f>
        <v>315.45000000000005</v>
      </c>
      <c r="M52" s="64">
        <f t="shared" si="4"/>
        <v>648.2505273574734</v>
      </c>
      <c r="N52" s="64">
        <f>'SS NEWater'!$D$12</f>
        <v>247.39999999999998</v>
      </c>
      <c r="O52" s="133"/>
    </row>
    <row r="53" spans="2:15">
      <c r="B53" s="6">
        <v>2044</v>
      </c>
      <c r="C53" s="3" cm="1">
        <f t="array" ref="C53">_xlfn.IFS($D$8="Low",'Pop FCST'!C52,$D$8="Medium",'Pop FCST'!D52,$D$8="High",'Pop FCST'!E52)</f>
        <v>7605379.0614134697</v>
      </c>
      <c r="D53" s="110">
        <f t="shared" si="0"/>
        <v>680.05812961177708</v>
      </c>
      <c r="E53" s="64">
        <f t="shared" si="5"/>
        <v>331.89988989781341</v>
      </c>
      <c r="F53" s="64">
        <f t="shared" si="1"/>
        <v>612.05231665059944</v>
      </c>
      <c r="G53" s="64">
        <f t="shared" si="6"/>
        <v>298.70990090803195</v>
      </c>
      <c r="H53" s="64">
        <f t="shared" si="2"/>
        <v>748.06394257295506</v>
      </c>
      <c r="I53" s="64">
        <f t="shared" si="7"/>
        <v>365.08987888759486</v>
      </c>
      <c r="J53" s="64" cm="1">
        <f t="array" ref="J53">_xlfn.IFS($D$9="Low",'SS Water_CM'!$H75,$D$9="Medium",'SS Water_CM'!$I75,$D$9="High",'SS Water_CM'!$J75)</f>
        <v>335.45232438821017</v>
      </c>
      <c r="K53" s="64">
        <f t="shared" si="3"/>
        <v>0</v>
      </c>
      <c r="L53" s="64">
        <f>'SS Desalin_Water'!$D$11</f>
        <v>315.45000000000005</v>
      </c>
      <c r="M53" s="64">
        <f t="shared" si="4"/>
        <v>650.90232438821022</v>
      </c>
      <c r="N53" s="64">
        <f>'SS NEWater'!$D$12</f>
        <v>247.39999999999998</v>
      </c>
      <c r="O53" s="133"/>
    </row>
    <row r="54" spans="2:15">
      <c r="B54" s="6">
        <v>2045</v>
      </c>
      <c r="C54" s="3" cm="1">
        <f t="array" ref="C54">_xlfn.IFS($D$8="Low",'Pop FCST'!C53,$D$8="Medium",'Pop FCST'!D53,$D$8="High",'Pop FCST'!E53)</f>
        <v>7693179.9422802124</v>
      </c>
      <c r="D54" s="110">
        <f t="shared" si="0"/>
        <v>686.07956724386531</v>
      </c>
      <c r="E54" s="64">
        <f t="shared" si="5"/>
        <v>346.6164220750976</v>
      </c>
      <c r="F54" s="64">
        <f t="shared" si="1"/>
        <v>617.47161051947853</v>
      </c>
      <c r="G54" s="64">
        <f t="shared" si="6"/>
        <v>311.95477986758772</v>
      </c>
      <c r="H54" s="64">
        <f t="shared" si="2"/>
        <v>754.68752396825209</v>
      </c>
      <c r="I54" s="64">
        <f t="shared" si="7"/>
        <v>381.27806428260715</v>
      </c>
      <c r="J54" s="64" cm="1">
        <f t="array" ref="J54">_xlfn.IFS($D$9="Low",'SS Water_CM'!$H76,$D$9="Medium",'SS Water_CM'!$I76,$D$9="High",'SS Water_CM'!$J76)</f>
        <v>338.10412141894693</v>
      </c>
      <c r="K54" s="64">
        <f t="shared" si="3"/>
        <v>0</v>
      </c>
      <c r="L54" s="64">
        <f>'SS Desalin_Water'!$D$11</f>
        <v>315.45000000000005</v>
      </c>
      <c r="M54" s="64">
        <f t="shared" si="4"/>
        <v>653.55412141894703</v>
      </c>
      <c r="N54" s="64">
        <f>'SS NEWater'!$D$12</f>
        <v>247.39999999999998</v>
      </c>
      <c r="O54" s="133"/>
    </row>
    <row r="55" spans="2:15">
      <c r="B55" s="6">
        <v>2046</v>
      </c>
      <c r="C55" s="3" cm="1">
        <f t="array" ref="C55">_xlfn.IFS($D$8="Low",'Pop FCST'!C54,$D$8="Medium",'Pop FCST'!D54,$D$8="High",'Pop FCST'!E54)</f>
        <v>7781648.1098415423</v>
      </c>
      <c r="D55" s="110">
        <f t="shared" si="0"/>
        <v>692.11859441904141</v>
      </c>
      <c r="E55" s="64">
        <f t="shared" si="5"/>
        <v>361.85605390423791</v>
      </c>
      <c r="F55" s="64">
        <f t="shared" si="1"/>
        <v>622.90673497713715</v>
      </c>
      <c r="G55" s="64">
        <f t="shared" si="6"/>
        <v>325.67044851381411</v>
      </c>
      <c r="H55" s="64">
        <f t="shared" si="2"/>
        <v>761.33045386094579</v>
      </c>
      <c r="I55" s="64">
        <f t="shared" si="7"/>
        <v>398.04165929466171</v>
      </c>
      <c r="J55" s="64" cm="1">
        <f t="array" ref="J55">_xlfn.IFS($D$9="Low",'SS Water_CM'!$H77,$D$9="Medium",'SS Water_CM'!$I77,$D$9="High",'SS Water_CM'!$J77)</f>
        <v>340.7559184496838</v>
      </c>
      <c r="K55" s="64">
        <f t="shared" si="3"/>
        <v>0</v>
      </c>
      <c r="L55" s="64">
        <f>'SS Desalin_Water'!$D$11</f>
        <v>315.45000000000005</v>
      </c>
      <c r="M55" s="64">
        <f t="shared" si="4"/>
        <v>656.20591844968385</v>
      </c>
      <c r="N55" s="64">
        <f>'SS NEWater'!$D$12</f>
        <v>247.39999999999998</v>
      </c>
      <c r="O55" s="133"/>
    </row>
    <row r="56" spans="2:15">
      <c r="B56" s="6">
        <v>2047</v>
      </c>
      <c r="C56" s="3" cm="1">
        <f t="array" ref="C56">_xlfn.IFS($D$8="Low",'Pop FCST'!C55,$D$8="Medium",'Pop FCST'!D55,$D$8="High",'Pop FCST'!E55)</f>
        <v>7870788.6354763387</v>
      </c>
      <c r="D56" s="110">
        <f t="shared" si="0"/>
        <v>698.17518492170359</v>
      </c>
      <c r="E56" s="64">
        <f t="shared" si="5"/>
        <v>377.6399148779949</v>
      </c>
      <c r="F56" s="64">
        <f t="shared" si="1"/>
        <v>628.3576664295332</v>
      </c>
      <c r="G56" s="64">
        <f t="shared" si="6"/>
        <v>339.87592339019534</v>
      </c>
      <c r="H56" s="64">
        <f t="shared" si="2"/>
        <v>767.99270341387421</v>
      </c>
      <c r="I56" s="64">
        <f t="shared" si="7"/>
        <v>415.40390636579434</v>
      </c>
      <c r="J56" s="64" cm="1">
        <f t="array" ref="J56">_xlfn.IFS($D$9="Low",'SS Water_CM'!$H78,$D$9="Medium",'SS Water_CM'!$I78,$D$9="High",'SS Water_CM'!$J78)</f>
        <v>343.40771548042056</v>
      </c>
      <c r="K56" s="64">
        <f t="shared" si="3"/>
        <v>0</v>
      </c>
      <c r="L56" s="64">
        <f>'SS Desalin_Water'!$D$11</f>
        <v>315.45000000000005</v>
      </c>
      <c r="M56" s="64">
        <f t="shared" si="4"/>
        <v>658.85771548042067</v>
      </c>
      <c r="N56" s="64">
        <f>'SS NEWater'!$D$12</f>
        <v>247.39999999999998</v>
      </c>
      <c r="O56" s="133"/>
    </row>
    <row r="57" spans="2:15">
      <c r="B57" s="6">
        <v>2048</v>
      </c>
      <c r="C57" s="3" cm="1">
        <f t="array" ref="C57">_xlfn.IFS($D$8="Low",'Pop FCST'!C56,$D$8="Medium",'Pop FCST'!D56,$D$8="High",'Pop FCST'!E56)</f>
        <v>7960606.6291059591</v>
      </c>
      <c r="D57" s="110">
        <f t="shared" si="0"/>
        <v>704.24931112180082</v>
      </c>
      <c r="E57" s="64">
        <f t="shared" si="5"/>
        <v>393.99025402923644</v>
      </c>
      <c r="F57" s="64">
        <f t="shared" si="1"/>
        <v>633.82438000962054</v>
      </c>
      <c r="G57" s="64">
        <f t="shared" si="6"/>
        <v>354.59122862631261</v>
      </c>
      <c r="H57" s="64">
        <f t="shared" si="2"/>
        <v>774.67424223398109</v>
      </c>
      <c r="I57" s="64">
        <f t="shared" si="7"/>
        <v>433.38927943216004</v>
      </c>
      <c r="J57" s="64" cm="1">
        <f t="array" ref="J57">_xlfn.IFS($D$9="Low",'SS Water_CM'!$H79,$D$9="Medium",'SS Water_CM'!$I79,$D$9="High",'SS Water_CM'!$J79)</f>
        <v>346.05951251115738</v>
      </c>
      <c r="K57" s="64">
        <f t="shared" si="3"/>
        <v>0</v>
      </c>
      <c r="L57" s="64">
        <f>'SS Desalin_Water'!$D$11</f>
        <v>315.45000000000005</v>
      </c>
      <c r="M57" s="64">
        <f t="shared" si="4"/>
        <v>661.50951251115748</v>
      </c>
      <c r="N57" s="64">
        <f>'SS NEWater'!$D$12</f>
        <v>247.39999999999998</v>
      </c>
      <c r="O57" s="133"/>
    </row>
    <row r="58" spans="2:15">
      <c r="B58" s="6">
        <v>2049</v>
      </c>
      <c r="C58" s="3" cm="1">
        <f t="array" ref="C58">_xlfn.IFS($D$8="Low",'Pop FCST'!C57,$D$8="Medium",'Pop FCST'!D57,$D$8="High",'Pop FCST'!E57)</f>
        <v>8051107.2394871647</v>
      </c>
      <c r="D58" s="110">
        <f t="shared" si="0"/>
        <v>710.34094395484726</v>
      </c>
      <c r="E58" s="64">
        <f t="shared" si="5"/>
        <v>410.93051511631722</v>
      </c>
      <c r="F58" s="64">
        <f t="shared" si="1"/>
        <v>639.30684955936226</v>
      </c>
      <c r="G58" s="64">
        <f t="shared" si="6"/>
        <v>369.83746360468547</v>
      </c>
      <c r="H58" s="64">
        <f t="shared" si="2"/>
        <v>781.37503835033203</v>
      </c>
      <c r="I58" s="64">
        <f t="shared" si="7"/>
        <v>452.02356662794921</v>
      </c>
      <c r="J58" s="64" cm="1">
        <f t="array" ref="J58">_xlfn.IFS($D$9="Low",'SS Water_CM'!$H80,$D$9="Medium",'SS Water_CM'!$I80,$D$9="High",'SS Water_CM'!$J80)</f>
        <v>348.71130954189414</v>
      </c>
      <c r="K58" s="64">
        <f t="shared" si="3"/>
        <v>0</v>
      </c>
      <c r="L58" s="64">
        <f>'SS Desalin_Water'!$D$11</f>
        <v>315.45000000000005</v>
      </c>
      <c r="M58" s="64">
        <f t="shared" si="4"/>
        <v>664.16130954189418</v>
      </c>
      <c r="N58" s="64">
        <f>'SS NEWater'!$D$12</f>
        <v>247.39999999999998</v>
      </c>
      <c r="O58" s="133"/>
    </row>
    <row r="59" spans="2:15">
      <c r="B59" s="6">
        <v>2050</v>
      </c>
      <c r="C59" s="3" cm="1">
        <f t="array" ref="C59">_xlfn.IFS($D$8="Low",'Pop FCST'!C58,$D$8="Medium",'Pop FCST'!D58,$D$8="High",'Pop FCST'!E58)</f>
        <v>8142295.6545072673</v>
      </c>
      <c r="D59" s="110">
        <f t="shared" si="0"/>
        <v>716.45005290171491</v>
      </c>
      <c r="E59" s="64">
        <f t="shared" si="5"/>
        <v>428.48541795622396</v>
      </c>
      <c r="F59" s="64">
        <f t="shared" si="1"/>
        <v>644.80504761154305</v>
      </c>
      <c r="G59" s="64">
        <f t="shared" si="6"/>
        <v>385.63687616060145</v>
      </c>
      <c r="H59" s="64">
        <f t="shared" si="2"/>
        <v>788.09505819188655</v>
      </c>
      <c r="I59" s="64">
        <f t="shared" si="7"/>
        <v>471.33395975184658</v>
      </c>
      <c r="J59" s="64" cm="1">
        <f t="array" ref="J59">_xlfn.IFS($D$9="Low",'SS Water_CM'!$H81,$D$9="Medium",'SS Water_CM'!$I81,$D$9="High",'SS Water_CM'!$J81)</f>
        <v>351.36310657263101</v>
      </c>
      <c r="K59" s="64">
        <f t="shared" si="3"/>
        <v>0</v>
      </c>
      <c r="L59" s="64">
        <f>'SS Desalin_Water'!$D$11</f>
        <v>315.45000000000005</v>
      </c>
      <c r="M59" s="64">
        <f t="shared" si="4"/>
        <v>666.81310657263111</v>
      </c>
      <c r="N59" s="64">
        <f>'SS NEWater'!$D$12</f>
        <v>247.39999999999998</v>
      </c>
      <c r="O59" s="133"/>
    </row>
    <row r="60" spans="2:15">
      <c r="B60" s="6">
        <v>2051</v>
      </c>
      <c r="C60" s="3" cm="1">
        <f t="array" ref="C60">_xlfn.IFS($D$8="Low",'Pop FCST'!C59,$D$8="Medium",'Pop FCST'!D59,$D$8="High",'Pop FCST'!E59)</f>
        <v>8234177.1014815234</v>
      </c>
      <c r="D60" s="110">
        <f t="shared" si="0"/>
        <v>722.57660596820222</v>
      </c>
      <c r="E60" s="64">
        <f t="shared" si="5"/>
        <v>446.6810465001945</v>
      </c>
      <c r="F60" s="64">
        <f t="shared" si="1"/>
        <v>650.3189453713818</v>
      </c>
      <c r="G60" s="64">
        <f t="shared" si="6"/>
        <v>402.01294185017491</v>
      </c>
      <c r="H60" s="64">
        <f t="shared" si="2"/>
        <v>794.83426656502286</v>
      </c>
      <c r="I60" s="64">
        <f t="shared" si="7"/>
        <v>491.34915115021408</v>
      </c>
      <c r="J60" s="64" cm="1">
        <f t="array" ref="J60">_xlfn.IFS($D$9="Low",'SS Water_CM'!$H82,$D$9="Medium",'SS Water_CM'!$I82,$D$9="High",'SS Water_CM'!$J82)</f>
        <v>354.01490360336788</v>
      </c>
      <c r="K60" s="64">
        <f t="shared" si="3"/>
        <v>0</v>
      </c>
      <c r="L60" s="64">
        <f>'SS Desalin_Water'!$D$11</f>
        <v>315.45000000000005</v>
      </c>
      <c r="M60" s="64">
        <f t="shared" si="4"/>
        <v>669.46490360336793</v>
      </c>
      <c r="N60" s="64">
        <f>'SS NEWater'!$D$12</f>
        <v>247.39999999999998</v>
      </c>
      <c r="O60" s="133"/>
    </row>
    <row r="61" spans="2:15">
      <c r="B61" s="6">
        <v>2052</v>
      </c>
      <c r="C61" s="3" cm="1">
        <f t="array" ref="C61">_xlfn.IFS($D$8="Low",'Pop FCST'!C60,$D$8="Medium",'Pop FCST'!D60,$D$8="High",'Pop FCST'!E60)</f>
        <v>8326756.847452783</v>
      </c>
      <c r="D61" s="110">
        <f t="shared" si="0"/>
        <v>728.72056966437538</v>
      </c>
      <c r="E61" s="64">
        <f t="shared" si="5"/>
        <v>465.54494431319051</v>
      </c>
      <c r="F61" s="64">
        <f t="shared" si="1"/>
        <v>655.84851269793762</v>
      </c>
      <c r="G61" s="64">
        <f t="shared" si="6"/>
        <v>418.99044988187131</v>
      </c>
      <c r="H61" s="64">
        <f t="shared" si="2"/>
        <v>801.59262663081324</v>
      </c>
      <c r="I61" s="64">
        <f t="shared" si="7"/>
        <v>512.0994387445096</v>
      </c>
      <c r="J61" s="64" cm="1">
        <f t="array" ref="J61">_xlfn.IFS($D$9="Low",'SS Water_CM'!$H83,$D$9="Medium",'SS Water_CM'!$I83,$D$9="High",'SS Water_CM'!$J83)</f>
        <v>356.6667006341047</v>
      </c>
      <c r="K61" s="64">
        <f t="shared" si="3"/>
        <v>0</v>
      </c>
      <c r="L61" s="64">
        <f>'SS Desalin_Water'!$D$11</f>
        <v>315.45000000000005</v>
      </c>
      <c r="M61" s="64">
        <f t="shared" si="4"/>
        <v>672.11670063410475</v>
      </c>
      <c r="N61" s="64">
        <f>'SS NEWater'!$D$12</f>
        <v>247.39999999999998</v>
      </c>
      <c r="O61" s="133"/>
    </row>
    <row r="62" spans="2:15">
      <c r="B62" s="6">
        <v>2053</v>
      </c>
      <c r="C62" s="3" cm="1">
        <f t="array" ref="C62">_xlfn.IFS($D$8="Low",'Pop FCST'!C61,$D$8="Medium",'Pop FCST'!D61,$D$8="High",'Pop FCST'!E61)</f>
        <v>8420040.199493425</v>
      </c>
      <c r="D62" s="110">
        <f t="shared" si="0"/>
        <v>734.88190898368123</v>
      </c>
      <c r="E62" s="64">
        <f t="shared" si="5"/>
        <v>485.10621819379844</v>
      </c>
      <c r="F62" s="64">
        <f t="shared" si="1"/>
        <v>661.39371808531291</v>
      </c>
      <c r="G62" s="64">
        <f t="shared" si="6"/>
        <v>436.59559637441839</v>
      </c>
      <c r="H62" s="64">
        <f t="shared" si="2"/>
        <v>808.37009988204954</v>
      </c>
      <c r="I62" s="64">
        <f t="shared" si="7"/>
        <v>533.61684001317872</v>
      </c>
      <c r="J62" s="64" cm="1">
        <f t="array" ref="J62">_xlfn.IFS($D$9="Low",'SS Water_CM'!$H84,$D$9="Medium",'SS Water_CM'!$I84,$D$9="High",'SS Water_CM'!$J84)</f>
        <v>359.31849766484157</v>
      </c>
      <c r="K62" s="64">
        <f t="shared" si="3"/>
        <v>0</v>
      </c>
      <c r="L62" s="64">
        <f>'SS Desalin_Water'!$D$11</f>
        <v>315.45000000000005</v>
      </c>
      <c r="M62" s="64">
        <f t="shared" si="4"/>
        <v>674.76849766484156</v>
      </c>
      <c r="N62" s="64">
        <f>'SS NEWater'!$D$12</f>
        <v>247.39999999999998</v>
      </c>
      <c r="O62" s="133"/>
    </row>
    <row r="63" spans="2:15">
      <c r="B63" s="6">
        <v>2054</v>
      </c>
      <c r="C63" s="3" cm="1">
        <f t="array" ref="C63">_xlfn.IFS($D$8="Low",'Pop FCST'!C62,$D$8="Medium",'Pop FCST'!D62,$D$8="High",'Pop FCST'!E62)</f>
        <v>8514032.5050095748</v>
      </c>
      <c r="D63" s="110">
        <f t="shared" si="0"/>
        <v>741.06058738182855</v>
      </c>
      <c r="E63" s="64">
        <f t="shared" si="5"/>
        <v>505.39565075609312</v>
      </c>
      <c r="F63" s="64">
        <f t="shared" si="1"/>
        <v>666.95452864364563</v>
      </c>
      <c r="G63" s="64">
        <f t="shared" si="6"/>
        <v>454.85608568048337</v>
      </c>
      <c r="H63" s="64">
        <f t="shared" si="2"/>
        <v>815.16664612001171</v>
      </c>
      <c r="I63" s="64">
        <f t="shared" si="7"/>
        <v>555.93521583170264</v>
      </c>
      <c r="J63" s="64" cm="1">
        <f t="array" ref="J63">_xlfn.IFS($D$9="Low",'SS Water_CM'!$H85,$D$9="Medium",'SS Water_CM'!$I85,$D$9="High",'SS Water_CM'!$J85)</f>
        <v>361.97029469557833</v>
      </c>
      <c r="K63" s="64">
        <f t="shared" si="3"/>
        <v>0</v>
      </c>
      <c r="L63" s="64">
        <f>'SS Desalin_Water'!$D$11</f>
        <v>315.45000000000005</v>
      </c>
      <c r="M63" s="64">
        <f t="shared" si="4"/>
        <v>677.42029469557838</v>
      </c>
      <c r="N63" s="64">
        <f>'SS NEWater'!$D$12</f>
        <v>247.39999999999998</v>
      </c>
      <c r="O63" s="133"/>
    </row>
    <row r="64" spans="2:15">
      <c r="B64" s="6">
        <v>2055</v>
      </c>
      <c r="C64" s="3" cm="1">
        <f t="array" ref="C64">_xlfn.IFS($D$8="Low",'Pop FCST'!C63,$D$8="Medium",'Pop FCST'!D63,$D$8="High",'Pop FCST'!E63)</f>
        <v>8608739.1520476472</v>
      </c>
      <c r="D64" s="110">
        <f t="shared" si="0"/>
        <v>747.2565667554378</v>
      </c>
      <c r="E64" s="64">
        <f t="shared" si="5"/>
        <v>526.44582289114032</v>
      </c>
      <c r="F64" s="64">
        <f t="shared" si="1"/>
        <v>672.5309100798936</v>
      </c>
      <c r="G64" s="64">
        <f t="shared" si="6"/>
        <v>473.80124060202604</v>
      </c>
      <c r="H64" s="64">
        <f t="shared" si="2"/>
        <v>821.98222343098189</v>
      </c>
      <c r="I64" s="64">
        <f t="shared" si="7"/>
        <v>579.09040518025461</v>
      </c>
      <c r="J64" s="64" cm="1">
        <f t="array" ref="J64">_xlfn.IFS($D$9="Low",'SS Water_CM'!$H86,$D$9="Medium",'SS Water_CM'!$I86,$D$9="High",'SS Water_CM'!$J86)</f>
        <v>364.62209172631515</v>
      </c>
      <c r="K64" s="64">
        <f t="shared" si="3"/>
        <v>0</v>
      </c>
      <c r="L64" s="64">
        <f>'SS Desalin_Water'!$D$11</f>
        <v>315.45000000000005</v>
      </c>
      <c r="M64" s="64">
        <f t="shared" si="4"/>
        <v>680.07209172631519</v>
      </c>
      <c r="N64" s="64">
        <f>'SS NEWater'!$D$12</f>
        <v>247.39999999999998</v>
      </c>
      <c r="O64" s="133"/>
    </row>
    <row r="65" spans="2:15">
      <c r="B65" s="6">
        <v>2056</v>
      </c>
      <c r="C65" s="3" cm="1">
        <f t="array" ref="C65">_xlfn.IFS($D$8="Low",'Pop FCST'!C64,$D$8="Medium",'Pop FCST'!D64,$D$8="High",'Pop FCST'!E64)</f>
        <v>8704165.5696032103</v>
      </c>
      <c r="D65" s="110">
        <f t="shared" si="0"/>
        <v>753.46980742045218</v>
      </c>
      <c r="E65" s="64">
        <f t="shared" si="5"/>
        <v>548.29124713480212</v>
      </c>
      <c r="F65" s="64">
        <f t="shared" si="1"/>
        <v>678.1228266784068</v>
      </c>
      <c r="G65" s="64">
        <f t="shared" si="6"/>
        <v>493.46212242132185</v>
      </c>
      <c r="H65" s="64">
        <f t="shared" si="2"/>
        <v>828.8167881624978</v>
      </c>
      <c r="I65" s="64">
        <f t="shared" si="7"/>
        <v>603.12037184828284</v>
      </c>
      <c r="J65" s="64" cm="1">
        <f t="array" ref="J65">_xlfn.IFS($D$9="Low",'SS Water_CM'!$H87,$D$9="Medium",'SS Water_CM'!$I87,$D$9="High",'SS Water_CM'!$J87)</f>
        <v>367.27388875705191</v>
      </c>
      <c r="K65" s="64">
        <f t="shared" si="3"/>
        <v>0</v>
      </c>
      <c r="L65" s="64">
        <f>'SS Desalin_Water'!$D$11</f>
        <v>315.45000000000005</v>
      </c>
      <c r="M65" s="64">
        <f t="shared" si="4"/>
        <v>682.72388875705201</v>
      </c>
      <c r="N65" s="64">
        <f>'SS NEWater'!$D$12</f>
        <v>247.39999999999998</v>
      </c>
      <c r="O65" s="133"/>
    </row>
    <row r="66" spans="2:15">
      <c r="B66" s="6">
        <v>2057</v>
      </c>
      <c r="C66" s="3" cm="1">
        <f t="array" ref="C66">_xlfn.IFS($D$8="Low",'Pop FCST'!C65,$D$8="Medium",'Pop FCST'!D65,$D$8="High",'Pop FCST'!E65)</f>
        <v>8800317.2279321942</v>
      </c>
      <c r="D66" s="110">
        <f t="shared" si="0"/>
        <v>759.70026809031299</v>
      </c>
      <c r="E66" s="64">
        <f t="shared" si="5"/>
        <v>570.96851309227497</v>
      </c>
      <c r="F66" s="64">
        <f t="shared" si="1"/>
        <v>683.73024128128145</v>
      </c>
      <c r="G66" s="64">
        <f t="shared" si="6"/>
        <v>513.8716617830471</v>
      </c>
      <c r="H66" s="64">
        <f t="shared" si="2"/>
        <v>835.67029489934475</v>
      </c>
      <c r="I66" s="64">
        <f t="shared" si="7"/>
        <v>628.06536440150285</v>
      </c>
      <c r="J66" s="64" cm="1">
        <f t="array" ref="J66">_xlfn.IFS($D$9="Low",'SS Water_CM'!$H88,$D$9="Medium",'SS Water_CM'!$I88,$D$9="High",'SS Water_CM'!$J88)</f>
        <v>369.92568578778884</v>
      </c>
      <c r="K66" s="64">
        <f t="shared" si="3"/>
        <v>0</v>
      </c>
      <c r="L66" s="64">
        <f>'SS Desalin_Water'!$D$11</f>
        <v>315.45000000000005</v>
      </c>
      <c r="M66" s="64">
        <f t="shared" si="4"/>
        <v>685.37568578778883</v>
      </c>
      <c r="N66" s="64">
        <f>'SS NEWater'!$D$12</f>
        <v>247.39999999999998</v>
      </c>
      <c r="O66" s="133"/>
    </row>
    <row r="67" spans="2:15">
      <c r="B67" s="6">
        <v>2058</v>
      </c>
      <c r="C67" s="3" cm="1">
        <f t="array" ref="C67">_xlfn.IFS($D$8="Low",'Pop FCST'!C66,$D$8="Medium",'Pop FCST'!D66,$D$8="High",'Pop FCST'!E66)</f>
        <v>8897199.63886448</v>
      </c>
      <c r="D67" s="110">
        <f t="shared" si="0"/>
        <v>765.94790585389444</v>
      </c>
      <c r="E67" s="64">
        <f t="shared" si="5"/>
        <v>594.51644621060404</v>
      </c>
      <c r="F67" s="64">
        <f t="shared" si="1"/>
        <v>689.35311526850467</v>
      </c>
      <c r="G67" s="64">
        <f t="shared" si="6"/>
        <v>535.06480158954355</v>
      </c>
      <c r="H67" s="64">
        <f t="shared" si="2"/>
        <v>842.5426964392841</v>
      </c>
      <c r="I67" s="64">
        <f t="shared" si="7"/>
        <v>653.96809083166522</v>
      </c>
      <c r="J67" s="64" cm="1">
        <f t="array" ref="J67">_xlfn.IFS($D$9="Low",'SS Water_CM'!$H89,$D$9="Medium",'SS Water_CM'!$I89,$D$9="High",'SS Water_CM'!$J89)</f>
        <v>372.5774828185256</v>
      </c>
      <c r="K67" s="64">
        <f t="shared" si="3"/>
        <v>0</v>
      </c>
      <c r="L67" s="64">
        <f>'SS Desalin_Water'!$D$11</f>
        <v>315.45000000000005</v>
      </c>
      <c r="M67" s="64">
        <f t="shared" si="4"/>
        <v>688.02748281852564</v>
      </c>
      <c r="N67" s="64">
        <f>'SS NEWater'!$D$12</f>
        <v>247.39999999999998</v>
      </c>
      <c r="O67" s="133"/>
    </row>
    <row r="68" spans="2:15">
      <c r="B68" s="6">
        <v>2059</v>
      </c>
      <c r="C68" s="3" cm="1">
        <f t="array" ref="C68">_xlfn.IFS($D$8="Low",'Pop FCST'!C67,$D$8="Medium",'Pop FCST'!D67,$D$8="High",'Pop FCST'!E67)</f>
        <v>8994818.3561198507</v>
      </c>
      <c r="D68" s="110">
        <f t="shared" si="0"/>
        <v>772.21267615319232</v>
      </c>
      <c r="E68" s="64">
        <f t="shared" si="5"/>
        <v>618.97628135092748</v>
      </c>
      <c r="F68" s="64">
        <f t="shared" si="1"/>
        <v>694.9914085378731</v>
      </c>
      <c r="G68" s="64">
        <f t="shared" si="6"/>
        <v>557.07865321583427</v>
      </c>
      <c r="H68" s="64">
        <f t="shared" si="2"/>
        <v>849.43394376851222</v>
      </c>
      <c r="I68" s="64">
        <f t="shared" si="7"/>
        <v>680.87390948602047</v>
      </c>
      <c r="J68" s="64" cm="1">
        <f t="array" ref="J68">_xlfn.IFS($D$9="Low",'SS Water_CM'!$H90,$D$9="Medium",'SS Water_CM'!$I90,$D$9="High",'SS Water_CM'!$J90)</f>
        <v>375.22927984926247</v>
      </c>
      <c r="K68" s="64">
        <f t="shared" si="3"/>
        <v>0</v>
      </c>
      <c r="L68" s="64">
        <f>'SS Desalin_Water'!$D$11</f>
        <v>315.45000000000005</v>
      </c>
      <c r="M68" s="64">
        <f t="shared" si="4"/>
        <v>690.67927984926246</v>
      </c>
      <c r="N68" s="64">
        <f>'SS NEWater'!$D$12</f>
        <v>247.39999999999998</v>
      </c>
      <c r="O68" s="133"/>
    </row>
    <row r="69" spans="2:15">
      <c r="B69" s="6">
        <v>2060</v>
      </c>
      <c r="C69" s="3" cm="1">
        <f t="array" ref="C69">_xlfn.IFS($D$8="Low",'Pop FCST'!C68,$D$8="Medium",'Pop FCST'!D68,$D$8="High",'Pop FCST'!E68)</f>
        <v>9093178.9756263625</v>
      </c>
      <c r="D69" s="110">
        <f t="shared" si="0"/>
        <v>778.49453276077566</v>
      </c>
      <c r="E69" s="64">
        <f t="shared" si="5"/>
        <v>644.39185279548656</v>
      </c>
      <c r="F69" s="64">
        <f t="shared" si="1"/>
        <v>700.64507948469793</v>
      </c>
      <c r="G69" s="64">
        <f t="shared" si="6"/>
        <v>579.95266751593795</v>
      </c>
      <c r="H69" s="64">
        <f t="shared" si="2"/>
        <v>856.34398603685315</v>
      </c>
      <c r="I69" s="64">
        <f t="shared" si="7"/>
        <v>708.83103807503539</v>
      </c>
      <c r="J69" s="64" cm="1">
        <f t="array" ref="J69">_xlfn.IFS($D$9="Low",'SS Water_CM'!$H91,$D$9="Medium",'SS Water_CM'!$I91,$D$9="High",'SS Water_CM'!$J91)</f>
        <v>377.88107688000002</v>
      </c>
      <c r="K69" s="64">
        <f t="shared" si="3"/>
        <v>0</v>
      </c>
      <c r="L69" s="64">
        <f>'SS Desalin_Water'!$D$11</f>
        <v>315.45000000000005</v>
      </c>
      <c r="M69" s="64">
        <f t="shared" si="4"/>
        <v>693.33107688000007</v>
      </c>
      <c r="N69" s="64">
        <f>'SS NEWater'!$D$12</f>
        <v>247.39999999999998</v>
      </c>
      <c r="O69" s="133"/>
    </row>
    <row r="70" spans="2:15">
      <c r="B70" s="6">
        <v>2061</v>
      </c>
      <c r="C70" s="3" cm="1">
        <f t="array" ref="C70">_xlfn.IFS($D$8="Low",'Pop FCST'!C69,$D$8="Medium",'Pop FCST'!D69,$D$8="High",'Pop FCST'!E69)</f>
        <v>9192287.1358411238</v>
      </c>
      <c r="D70" s="110">
        <f t="shared" si="0"/>
        <v>786.97948187328939</v>
      </c>
      <c r="E70" s="64">
        <f t="shared" si="5"/>
        <v>651.41519316513359</v>
      </c>
      <c r="F70" s="64">
        <f t="shared" si="1"/>
        <v>708.28153368596065</v>
      </c>
      <c r="G70" s="64">
        <f t="shared" si="6"/>
        <v>586.27367384862021</v>
      </c>
      <c r="H70" s="64">
        <f t="shared" si="2"/>
        <v>865.67743006061846</v>
      </c>
      <c r="I70" s="64">
        <f t="shared" si="7"/>
        <v>716.55671248164697</v>
      </c>
      <c r="J70" s="64" cm="1">
        <f t="array" ref="J70">_xlfn.IFS($D$9="Low",'SS Water_CM'!$H92,$D$9="Medium",'SS Water_CM'!$I92,$D$9="High",'SS Water_CM'!$J92)</f>
        <v>377.88107688000002</v>
      </c>
      <c r="K70" s="64">
        <f t="shared" si="3"/>
        <v>0</v>
      </c>
      <c r="L70" s="64">
        <f>'SS Desalin_Water'!$D$11</f>
        <v>315.45000000000005</v>
      </c>
      <c r="M70" s="64">
        <f t="shared" si="4"/>
        <v>693.33107688000007</v>
      </c>
      <c r="N70" s="64">
        <f>'SS NEWater'!$D$12</f>
        <v>247.39999999999998</v>
      </c>
      <c r="O70" s="133"/>
    </row>
    <row r="71" spans="2:15">
      <c r="B71" s="6">
        <v>2062</v>
      </c>
      <c r="C71" s="3" cm="1">
        <f t="array" ref="C71">_xlfn.IFS($D$8="Low",'Pop FCST'!C70,$D$8="Medium",'Pop FCST'!D70,$D$8="High",'Pop FCST'!E70)</f>
        <v>9292148.518073516</v>
      </c>
      <c r="D71" s="110">
        <f t="shared" si="0"/>
        <v>795.52891659905833</v>
      </c>
      <c r="E71" s="64">
        <f t="shared" si="5"/>
        <v>658.49191092158969</v>
      </c>
      <c r="F71" s="64">
        <f t="shared" si="1"/>
        <v>715.97602493915247</v>
      </c>
      <c r="G71" s="64">
        <f t="shared" si="6"/>
        <v>592.64271982943114</v>
      </c>
      <c r="H71" s="64">
        <f t="shared" si="2"/>
        <v>875.08180825896432</v>
      </c>
      <c r="I71" s="64">
        <f t="shared" si="7"/>
        <v>724.34110201374892</v>
      </c>
      <c r="J71" s="64" cm="1">
        <f t="array" ref="J71">_xlfn.IFS($D$9="Low",'SS Water_CM'!$H93,$D$9="Medium",'SS Water_CM'!$I93,$D$9="High",'SS Water_CM'!$J93)</f>
        <v>377.88107688000002</v>
      </c>
      <c r="K71" s="64">
        <f t="shared" si="3"/>
        <v>0</v>
      </c>
      <c r="L71" s="64">
        <f>'SS Desalin_Water'!$D$11</f>
        <v>315.45000000000005</v>
      </c>
      <c r="M71" s="64">
        <f t="shared" si="4"/>
        <v>693.33107688000007</v>
      </c>
      <c r="N71" s="64">
        <f>'SS NEWater'!$D$12</f>
        <v>247.39999999999998</v>
      </c>
      <c r="O71" s="133"/>
    </row>
    <row r="72" spans="2:15">
      <c r="B72" s="6">
        <v>2063</v>
      </c>
      <c r="C72" s="3" cm="1">
        <f t="array" ref="C72">_xlfn.IFS($D$8="Low",'Pop FCST'!C71,$D$8="Medium",'Pop FCST'!D71,$D$8="High",'Pop FCST'!E71)</f>
        <v>9392768.8468108755</v>
      </c>
      <c r="D72" s="110">
        <f t="shared" si="0"/>
        <v>804.1433270287431</v>
      </c>
      <c r="E72" s="64">
        <f t="shared" si="5"/>
        <v>665.62241173299526</v>
      </c>
      <c r="F72" s="64">
        <f t="shared" si="1"/>
        <v>723.72899432586883</v>
      </c>
      <c r="G72" s="64">
        <f t="shared" si="6"/>
        <v>599.06017055969562</v>
      </c>
      <c r="H72" s="64">
        <f t="shared" si="2"/>
        <v>884.55765973161749</v>
      </c>
      <c r="I72" s="64">
        <f t="shared" si="7"/>
        <v>732.18465290629479</v>
      </c>
      <c r="J72" s="64" cm="1">
        <f t="array" ref="J72">_xlfn.IFS($D$9="Low",'SS Water_CM'!$H94,$D$9="Medium",'SS Water_CM'!$I94,$D$9="High",'SS Water_CM'!$J94)</f>
        <v>377.88107688000002</v>
      </c>
      <c r="K72" s="64">
        <f t="shared" si="3"/>
        <v>0</v>
      </c>
      <c r="L72" s="64">
        <f>'SS Desalin_Water'!$D$11</f>
        <v>315.45000000000005</v>
      </c>
      <c r="M72" s="64">
        <f t="shared" si="4"/>
        <v>693.33107688000007</v>
      </c>
      <c r="N72" s="64">
        <f>'SS NEWater'!$D$12</f>
        <v>247.39999999999998</v>
      </c>
      <c r="O72" s="133"/>
    </row>
    <row r="73" spans="2:15">
      <c r="B73" s="6">
        <v>2064</v>
      </c>
      <c r="C73" s="3" cm="1">
        <f t="array" ref="C73">_xlfn.IFS($D$8="Low",'Pop FCST'!C72,$D$8="Medium",'Pop FCST'!D72,$D$8="High",'Pop FCST'!E72)</f>
        <v>9494153.8900466394</v>
      </c>
      <c r="D73" s="110">
        <f t="shared" si="0"/>
        <v>812.82320697769353</v>
      </c>
      <c r="E73" s="64">
        <f t="shared" si="5"/>
        <v>672.80710435056722</v>
      </c>
      <c r="F73" s="64">
        <f t="shared" si="1"/>
        <v>731.54088627992417</v>
      </c>
      <c r="G73" s="64">
        <f t="shared" si="6"/>
        <v>605.52639391551065</v>
      </c>
      <c r="H73" s="64">
        <f t="shared" si="2"/>
        <v>894.10552767546312</v>
      </c>
      <c r="I73" s="64">
        <f t="shared" si="7"/>
        <v>740.087814785624</v>
      </c>
      <c r="J73" s="64" cm="1">
        <f t="array" ref="J73">_xlfn.IFS($D$9="Low",'SS Water_CM'!$H95,$D$9="Medium",'SS Water_CM'!$I95,$D$9="High",'SS Water_CM'!$J95)</f>
        <v>377.88107688000002</v>
      </c>
      <c r="K73" s="64">
        <f t="shared" si="3"/>
        <v>0</v>
      </c>
      <c r="L73" s="64">
        <f>'SS Desalin_Water'!$D$11</f>
        <v>315.45000000000005</v>
      </c>
      <c r="M73" s="64">
        <f t="shared" si="4"/>
        <v>693.33107688000007</v>
      </c>
      <c r="N73" s="64">
        <f>'SS NEWater'!$D$12</f>
        <v>247.39999999999998</v>
      </c>
      <c r="O73" s="133"/>
    </row>
    <row r="74" spans="2:15">
      <c r="B74" s="6">
        <v>2065</v>
      </c>
      <c r="C74" s="3" cm="1">
        <f t="array" ref="C74">_xlfn.IFS($D$8="Low",'Pop FCST'!C73,$D$8="Medium",'Pop FCST'!D73,$D$8="High",'Pop FCST'!E73)</f>
        <v>9596309.4596109949</v>
      </c>
      <c r="D74" s="110">
        <f t="shared" si="0"/>
        <v>821.56905401425593</v>
      </c>
      <c r="E74" s="64">
        <f t="shared" si="5"/>
        <v>680.04640063203294</v>
      </c>
      <c r="F74" s="64">
        <f t="shared" si="1"/>
        <v>739.41214861283049</v>
      </c>
      <c r="G74" s="64">
        <f t="shared" si="6"/>
        <v>612.04176056882966</v>
      </c>
      <c r="H74" s="64">
        <f t="shared" si="2"/>
        <v>903.7259594156817</v>
      </c>
      <c r="I74" s="64">
        <f t="shared" si="7"/>
        <v>748.05104069523634</v>
      </c>
      <c r="J74" s="64" cm="1">
        <f t="array" ref="J74">_xlfn.IFS($D$9="Low",'SS Water_CM'!$H96,$D$9="Medium",'SS Water_CM'!$I96,$D$9="High",'SS Water_CM'!$J96)</f>
        <v>377.88107688000002</v>
      </c>
      <c r="K74" s="64">
        <f t="shared" si="3"/>
        <v>0</v>
      </c>
      <c r="L74" s="64">
        <f>'SS Desalin_Water'!$D$11</f>
        <v>315.45000000000005</v>
      </c>
      <c r="M74" s="64">
        <f t="shared" si="4"/>
        <v>693.33107688000007</v>
      </c>
      <c r="N74" s="64">
        <f>'SS NEWater'!$D$12</f>
        <v>247.39999999999998</v>
      </c>
      <c r="O74" s="133"/>
    </row>
    <row r="75" spans="2:15">
      <c r="B75" s="7"/>
      <c r="C75" s="47"/>
      <c r="D75" s="48"/>
      <c r="E75" s="48"/>
      <c r="F75" s="49"/>
      <c r="G75" s="49"/>
      <c r="I75" s="7"/>
      <c r="J75" s="45"/>
      <c r="M75" s="7"/>
    </row>
    <row r="76" spans="2:15" ht="14.4">
      <c r="B76" s="10" t="s">
        <v>169</v>
      </c>
      <c r="E76" s="10"/>
    </row>
    <row r="77" spans="2:15" ht="14.4">
      <c r="B77" s="10"/>
      <c r="C77" s="14" t="s">
        <v>67</v>
      </c>
      <c r="D77" s="14" t="s">
        <v>67</v>
      </c>
      <c r="E77" s="14" t="s">
        <v>67</v>
      </c>
      <c r="F77" s="14" t="s">
        <v>67</v>
      </c>
      <c r="G77" s="14" t="s">
        <v>67</v>
      </c>
      <c r="H77" s="14" t="s">
        <v>67</v>
      </c>
    </row>
    <row r="78" spans="2:15" ht="14.4">
      <c r="B78" s="112"/>
      <c r="C78" s="172" t="s">
        <v>170</v>
      </c>
      <c r="D78" s="172"/>
      <c r="E78" s="172" t="s">
        <v>171</v>
      </c>
      <c r="F78" s="172"/>
      <c r="G78" s="172" t="s">
        <v>172</v>
      </c>
      <c r="H78" s="172"/>
      <c r="I78" s="194" t="s">
        <v>173</v>
      </c>
      <c r="J78" s="171" t="s">
        <v>174</v>
      </c>
    </row>
    <row r="79" spans="2:15" ht="27.6">
      <c r="B79" s="24" t="s">
        <v>25</v>
      </c>
      <c r="C79" s="75" t="s">
        <v>175</v>
      </c>
      <c r="D79" s="75" t="s">
        <v>176</v>
      </c>
      <c r="E79" s="107" t="s">
        <v>177</v>
      </c>
      <c r="F79" s="107" t="s">
        <v>176</v>
      </c>
      <c r="G79" s="107" t="s">
        <v>177</v>
      </c>
      <c r="H79" s="107" t="s">
        <v>176</v>
      </c>
      <c r="I79" s="195"/>
      <c r="J79" s="171"/>
    </row>
    <row r="80" spans="2:15">
      <c r="B80" s="6">
        <v>2021</v>
      </c>
      <c r="C80" s="42">
        <f t="shared" ref="C80:C88" si="8">IF(B80=2021, $D$5-($D$5-$C$89)/COUNT($B$80:$B$89),C79-($D$5-$C$89)/COUNT($B$80:$B$89))</f>
        <v>5.5508242579285582E-5</v>
      </c>
      <c r="D80" s="42">
        <f>IF(B80&gt;=$D$17,C80*(1-$D$18*$D$19),C80)</f>
        <v>5.5508242579285582E-5</v>
      </c>
      <c r="E80" s="42">
        <f t="shared" ref="E80:E88" si="9">IF(B80=2021, $D$5-($D$5-$E$89)/COUNT($B$80:$B$89),E79-($D$5-$E$89)/COUNT($B$80:$B$89))</f>
        <v>5.5033742579285578E-5</v>
      </c>
      <c r="F80" s="42">
        <f>IF(B80&gt;=$D$17,E80*(1-$D$18*$D$19),E80)</f>
        <v>5.5033742579285578E-5</v>
      </c>
      <c r="G80" s="42">
        <f t="shared" ref="G80:G88" si="10">IF(B80=2021, $D$5-($D$5-$G$89)/COUNT($B$80:$B$89),G79-($D$5-$G$89)/COUNT($B$80:$B$89))</f>
        <v>5.5982742579285579E-5</v>
      </c>
      <c r="H80" s="42">
        <f t="shared" ref="H80:H124" si="11">IF(B80&gt;=$D$17,G80*(1-$D$18*$D$19),G80)</f>
        <v>5.5982742579285579E-5</v>
      </c>
      <c r="I80" s="109">
        <f>'DD Water_Total'!K42</f>
        <v>0.48465931634365944</v>
      </c>
      <c r="J80" s="109">
        <f>'DD Water_Total'!L42</f>
        <v>0.51534068365634056</v>
      </c>
    </row>
    <row r="81" spans="2:10">
      <c r="B81" s="6">
        <v>2022</v>
      </c>
      <c r="C81" s="42">
        <f t="shared" si="8"/>
        <v>5.461288229269829E-5</v>
      </c>
      <c r="D81" s="42">
        <f t="shared" ref="D81:D124" si="12">IF(B81&gt;=$D$17,C81*(1-$D$18*$D$19),C81)</f>
        <v>5.461288229269829E-5</v>
      </c>
      <c r="E81" s="42">
        <f t="shared" si="9"/>
        <v>5.366388229269829E-5</v>
      </c>
      <c r="F81" s="42">
        <f t="shared" ref="F81:F124" si="13">IF(B81&gt;=$D$17,E81*(1-$D$18*$D$19),E81)</f>
        <v>5.366388229269829E-5</v>
      </c>
      <c r="G81" s="42">
        <f t="shared" si="10"/>
        <v>5.5561882292698291E-5</v>
      </c>
      <c r="H81" s="42">
        <f t="shared" si="11"/>
        <v>5.5561882292698291E-5</v>
      </c>
      <c r="I81" s="109">
        <f>'DD Water_Total'!K43</f>
        <v>0.47992446207843742</v>
      </c>
      <c r="J81" s="109">
        <f>'DD Water_Total'!L43</f>
        <v>0.52007553792156258</v>
      </c>
    </row>
    <row r="82" spans="2:10">
      <c r="B82" s="6">
        <v>2023</v>
      </c>
      <c r="C82" s="42">
        <f t="shared" si="8"/>
        <v>5.3717522006110999E-5</v>
      </c>
      <c r="D82" s="42">
        <f t="shared" si="12"/>
        <v>5.3717522006110999E-5</v>
      </c>
      <c r="E82" s="42">
        <f t="shared" si="9"/>
        <v>5.2294022006111002E-5</v>
      </c>
      <c r="F82" s="42">
        <f t="shared" si="13"/>
        <v>5.2294022006111002E-5</v>
      </c>
      <c r="G82" s="42">
        <f t="shared" si="10"/>
        <v>5.5141022006111004E-5</v>
      </c>
      <c r="H82" s="42">
        <f t="shared" si="11"/>
        <v>5.5141022006111004E-5</v>
      </c>
      <c r="I82" s="109">
        <f>'DD Water_Total'!K44</f>
        <v>0.4751896078132154</v>
      </c>
      <c r="J82" s="109">
        <f>'DD Water_Total'!L44</f>
        <v>0.5248103921867846</v>
      </c>
    </row>
    <row r="83" spans="2:10">
      <c r="B83" s="6">
        <v>2024</v>
      </c>
      <c r="C83" s="42">
        <f t="shared" si="8"/>
        <v>5.2822161719523708E-5</v>
      </c>
      <c r="D83" s="42">
        <f t="shared" si="12"/>
        <v>5.2822161719523708E-5</v>
      </c>
      <c r="E83" s="42">
        <f t="shared" si="9"/>
        <v>5.0924161719523714E-5</v>
      </c>
      <c r="F83" s="42">
        <f t="shared" si="13"/>
        <v>5.0924161719523714E-5</v>
      </c>
      <c r="G83" s="42">
        <f t="shared" si="10"/>
        <v>5.4720161719523716E-5</v>
      </c>
      <c r="H83" s="42">
        <f t="shared" si="11"/>
        <v>5.4720161719523716E-5</v>
      </c>
      <c r="I83" s="109">
        <f>'DD Water_Total'!K45</f>
        <v>0.47045475354799338</v>
      </c>
      <c r="J83" s="109">
        <f>'DD Water_Total'!L45</f>
        <v>0.52954524645200662</v>
      </c>
    </row>
    <row r="84" spans="2:10" ht="13.95" customHeight="1">
      <c r="B84" s="6">
        <v>2025</v>
      </c>
      <c r="C84" s="42">
        <f t="shared" si="8"/>
        <v>5.1926801432936417E-5</v>
      </c>
      <c r="D84" s="42">
        <f t="shared" si="12"/>
        <v>5.1926801432936417E-5</v>
      </c>
      <c r="E84" s="42">
        <f t="shared" si="9"/>
        <v>4.9554301432936426E-5</v>
      </c>
      <c r="F84" s="42">
        <f t="shared" si="13"/>
        <v>4.9554301432936426E-5</v>
      </c>
      <c r="G84" s="42">
        <f t="shared" si="10"/>
        <v>5.4299301432936428E-5</v>
      </c>
      <c r="H84" s="42">
        <f t="shared" si="11"/>
        <v>5.4299301432936428E-5</v>
      </c>
      <c r="I84" s="109">
        <f>'DD Water_Total'!K46</f>
        <v>0.46571989928277135</v>
      </c>
      <c r="J84" s="109">
        <f>'DD Water_Total'!L46</f>
        <v>0.53428010071722865</v>
      </c>
    </row>
    <row r="85" spans="2:10">
      <c r="B85" s="6">
        <v>2026</v>
      </c>
      <c r="C85" s="42">
        <f t="shared" si="8"/>
        <v>5.1031441146349126E-5</v>
      </c>
      <c r="D85" s="42">
        <f t="shared" si="12"/>
        <v>5.1031441146349126E-5</v>
      </c>
      <c r="E85" s="42">
        <f t="shared" si="9"/>
        <v>4.8184441146349137E-5</v>
      </c>
      <c r="F85" s="42">
        <f t="shared" si="13"/>
        <v>4.8184441146349137E-5</v>
      </c>
      <c r="G85" s="42">
        <f t="shared" si="10"/>
        <v>5.3878441146349141E-5</v>
      </c>
      <c r="H85" s="42">
        <f t="shared" si="11"/>
        <v>5.3878441146349141E-5</v>
      </c>
      <c r="I85" s="109">
        <f>'DD Water_Total'!K47</f>
        <v>0.46098504501754933</v>
      </c>
      <c r="J85" s="109">
        <f>'DD Water_Total'!L47</f>
        <v>0.53901495498245067</v>
      </c>
    </row>
    <row r="86" spans="2:10" ht="13.95" customHeight="1">
      <c r="B86" s="6">
        <v>2027</v>
      </c>
      <c r="C86" s="42">
        <f t="shared" si="8"/>
        <v>5.0136080859761834E-5</v>
      </c>
      <c r="D86" s="42">
        <f t="shared" si="12"/>
        <v>5.0136080859761834E-5</v>
      </c>
      <c r="E86" s="42">
        <f t="shared" si="9"/>
        <v>4.6814580859761849E-5</v>
      </c>
      <c r="F86" s="42">
        <f t="shared" si="13"/>
        <v>4.6814580859761849E-5</v>
      </c>
      <c r="G86" s="42">
        <f t="shared" si="10"/>
        <v>5.3457580859761853E-5</v>
      </c>
      <c r="H86" s="42">
        <f t="shared" si="11"/>
        <v>5.3457580859761853E-5</v>
      </c>
      <c r="I86" s="109">
        <f>'DD Water_Total'!K48</f>
        <v>0.45625019075232731</v>
      </c>
      <c r="J86" s="109">
        <f>'DD Water_Total'!L48</f>
        <v>0.54374980924767269</v>
      </c>
    </row>
    <row r="87" spans="2:10">
      <c r="B87" s="6">
        <v>2028</v>
      </c>
      <c r="C87" s="42">
        <f t="shared" si="8"/>
        <v>4.9240720573174543E-5</v>
      </c>
      <c r="D87" s="42">
        <f t="shared" si="12"/>
        <v>4.9240720573174543E-5</v>
      </c>
      <c r="E87" s="42">
        <f t="shared" si="9"/>
        <v>4.5444720573174561E-5</v>
      </c>
      <c r="F87" s="42">
        <f t="shared" si="13"/>
        <v>4.5444720573174561E-5</v>
      </c>
      <c r="G87" s="42">
        <f t="shared" si="10"/>
        <v>5.3036720573174566E-5</v>
      </c>
      <c r="H87" s="42">
        <f t="shared" si="11"/>
        <v>5.3036720573174566E-5</v>
      </c>
      <c r="I87" s="109">
        <f>'DD Water_Total'!K49</f>
        <v>0.45151533648710529</v>
      </c>
      <c r="J87" s="109">
        <f>'DD Water_Total'!L49</f>
        <v>0.54848466351289471</v>
      </c>
    </row>
    <row r="88" spans="2:10">
      <c r="B88" s="6">
        <v>2029</v>
      </c>
      <c r="C88" s="42">
        <f t="shared" si="8"/>
        <v>4.8345360286587252E-5</v>
      </c>
      <c r="D88" s="42">
        <f t="shared" si="12"/>
        <v>4.8345360286587252E-5</v>
      </c>
      <c r="E88" s="42">
        <f t="shared" si="9"/>
        <v>4.4074860286587273E-5</v>
      </c>
      <c r="F88" s="42">
        <f t="shared" si="13"/>
        <v>4.4074860286587273E-5</v>
      </c>
      <c r="G88" s="42">
        <f t="shared" si="10"/>
        <v>5.2615860286587278E-5</v>
      </c>
      <c r="H88" s="42">
        <f t="shared" si="11"/>
        <v>5.2615860286587278E-5</v>
      </c>
      <c r="I88" s="109">
        <f>'DD Water_Total'!K50</f>
        <v>0.44678048222188327</v>
      </c>
      <c r="J88" s="109">
        <f>'DD Water_Total'!L50</f>
        <v>0.55321951777811673</v>
      </c>
    </row>
    <row r="89" spans="2:10" ht="13.95" customHeight="1">
      <c r="B89" s="6">
        <v>2030</v>
      </c>
      <c r="C89" s="53">
        <f>D13</f>
        <v>4.7449999999999988E-5</v>
      </c>
      <c r="D89" s="42">
        <f t="shared" si="12"/>
        <v>4.7449999999999988E-5</v>
      </c>
      <c r="E89" s="53">
        <f>D13*0.9</f>
        <v>4.2704999999999992E-5</v>
      </c>
      <c r="F89" s="42">
        <f t="shared" si="13"/>
        <v>4.2704999999999992E-5</v>
      </c>
      <c r="G89" s="53">
        <f>D13*1.1</f>
        <v>5.2194999999999991E-5</v>
      </c>
      <c r="H89" s="42">
        <f t="shared" si="11"/>
        <v>5.2194999999999991E-5</v>
      </c>
      <c r="I89" s="109">
        <f>'DD Water_Total'!K51</f>
        <v>0.44204562795666125</v>
      </c>
      <c r="J89" s="109">
        <f>'DD Water_Total'!L51</f>
        <v>0.55795437204333875</v>
      </c>
    </row>
    <row r="90" spans="2:10" ht="13.95" customHeight="1">
      <c r="B90" s="6">
        <v>2031</v>
      </c>
      <c r="C90" s="42">
        <f t="shared" ref="C90:C118" si="14">C89-($C$89-$C$119)/COUNT($B$90:$B$119)</f>
        <v>4.7328333333333319E-5</v>
      </c>
      <c r="D90" s="42">
        <f t="shared" si="12"/>
        <v>4.7328333333333319E-5</v>
      </c>
      <c r="E90" s="42">
        <f t="shared" ref="E90:E118" si="15">E89-($E$89-$E$119)/COUNT($B$90:$B$119)</f>
        <v>4.2595499999999989E-5</v>
      </c>
      <c r="F90" s="42">
        <f t="shared" si="13"/>
        <v>4.2595499999999989E-5</v>
      </c>
      <c r="G90" s="42">
        <f t="shared" ref="G90:G118" si="16">G89-($G$89-$G$119)/COUNT($B$90:$B$119)</f>
        <v>5.2061166666666655E-5</v>
      </c>
      <c r="H90" s="42">
        <f t="shared" si="11"/>
        <v>5.2061166666666655E-5</v>
      </c>
      <c r="I90" s="109">
        <f>'DD Water_Total'!K52</f>
        <v>0.43731077369143923</v>
      </c>
      <c r="J90" s="109">
        <f>'DD Water_Total'!L52</f>
        <v>0.56268922630856077</v>
      </c>
    </row>
    <row r="91" spans="2:10">
      <c r="B91" s="6">
        <v>2032</v>
      </c>
      <c r="C91" s="42">
        <f t="shared" si="14"/>
        <v>4.720666666666665E-5</v>
      </c>
      <c r="D91" s="42">
        <f t="shared" si="12"/>
        <v>4.720666666666665E-5</v>
      </c>
      <c r="E91" s="42">
        <f t="shared" si="15"/>
        <v>4.2485999999999986E-5</v>
      </c>
      <c r="F91" s="42">
        <f t="shared" si="13"/>
        <v>4.2485999999999986E-5</v>
      </c>
      <c r="G91" s="42">
        <f t="shared" si="16"/>
        <v>5.192733333333332E-5</v>
      </c>
      <c r="H91" s="42">
        <f t="shared" si="11"/>
        <v>5.192733333333332E-5</v>
      </c>
      <c r="I91" s="109">
        <f>'DD Water_Total'!K53</f>
        <v>0.4325759194262172</v>
      </c>
      <c r="J91" s="109">
        <f>'DD Water_Total'!L53</f>
        <v>0.5674240805737828</v>
      </c>
    </row>
    <row r="92" spans="2:10">
      <c r="B92" s="6">
        <v>2033</v>
      </c>
      <c r="C92" s="42">
        <f t="shared" si="14"/>
        <v>4.708499999999998E-5</v>
      </c>
      <c r="D92" s="42">
        <f t="shared" si="12"/>
        <v>4.708499999999998E-5</v>
      </c>
      <c r="E92" s="42">
        <f t="shared" si="15"/>
        <v>4.2376499999999983E-5</v>
      </c>
      <c r="F92" s="42">
        <f t="shared" si="13"/>
        <v>4.2376499999999983E-5</v>
      </c>
      <c r="G92" s="42">
        <f t="shared" si="16"/>
        <v>5.1793499999999984E-5</v>
      </c>
      <c r="H92" s="42">
        <f t="shared" si="11"/>
        <v>5.1793499999999984E-5</v>
      </c>
      <c r="I92" s="109">
        <f>'DD Water_Total'!K54</f>
        <v>0.42784106516099518</v>
      </c>
      <c r="J92" s="109">
        <f>'DD Water_Total'!L54</f>
        <v>0.57215893483900482</v>
      </c>
    </row>
    <row r="93" spans="2:10">
      <c r="B93" s="6">
        <v>2034</v>
      </c>
      <c r="C93" s="42">
        <f t="shared" si="14"/>
        <v>4.6963333333333311E-5</v>
      </c>
      <c r="D93" s="42">
        <f t="shared" si="12"/>
        <v>4.6963333333333311E-5</v>
      </c>
      <c r="E93" s="42">
        <f t="shared" si="15"/>
        <v>4.226699999999998E-5</v>
      </c>
      <c r="F93" s="42">
        <f t="shared" si="13"/>
        <v>4.226699999999998E-5</v>
      </c>
      <c r="G93" s="42">
        <f t="shared" si="16"/>
        <v>5.1659666666666649E-5</v>
      </c>
      <c r="H93" s="42">
        <f t="shared" si="11"/>
        <v>5.1659666666666649E-5</v>
      </c>
      <c r="I93" s="109">
        <f>'DD Water_Total'!K55</f>
        <v>0.42310621089577316</v>
      </c>
      <c r="J93" s="109">
        <f>'DD Water_Total'!L55</f>
        <v>0.57689378910422684</v>
      </c>
    </row>
    <row r="94" spans="2:10">
      <c r="B94" s="6">
        <v>2035</v>
      </c>
      <c r="C94" s="42">
        <f t="shared" si="14"/>
        <v>4.6841666666666642E-5</v>
      </c>
      <c r="D94" s="42">
        <f t="shared" si="12"/>
        <v>4.6841666666666642E-5</v>
      </c>
      <c r="E94" s="42">
        <f t="shared" si="15"/>
        <v>4.2157499999999977E-5</v>
      </c>
      <c r="F94" s="42">
        <f t="shared" si="13"/>
        <v>4.2157499999999977E-5</v>
      </c>
      <c r="G94" s="42">
        <f t="shared" si="16"/>
        <v>5.1525833333333314E-5</v>
      </c>
      <c r="H94" s="42">
        <f t="shared" si="11"/>
        <v>5.1525833333333314E-5</v>
      </c>
      <c r="I94" s="109">
        <f>'DD Water_Total'!K56</f>
        <v>0.41837135663055114</v>
      </c>
      <c r="J94" s="109">
        <f>'DD Water_Total'!L56</f>
        <v>0.58162864336944886</v>
      </c>
    </row>
    <row r="95" spans="2:10" ht="13.95" customHeight="1">
      <c r="B95" s="6">
        <v>2036</v>
      </c>
      <c r="C95" s="42">
        <f t="shared" si="14"/>
        <v>4.6719999999999973E-5</v>
      </c>
      <c r="D95" s="42">
        <f t="shared" si="12"/>
        <v>4.6719999999999973E-5</v>
      </c>
      <c r="E95" s="42">
        <f t="shared" si="15"/>
        <v>4.2047999999999974E-5</v>
      </c>
      <c r="F95" s="42">
        <f t="shared" si="13"/>
        <v>4.2047999999999974E-5</v>
      </c>
      <c r="G95" s="42">
        <f t="shared" si="16"/>
        <v>5.1391999999999978E-5</v>
      </c>
      <c r="H95" s="42">
        <f t="shared" si="11"/>
        <v>5.1391999999999978E-5</v>
      </c>
      <c r="I95" s="109">
        <f>'DD Water_Total'!K57</f>
        <v>0.41363650236532912</v>
      </c>
      <c r="J95" s="109">
        <f>'DD Water_Total'!L57</f>
        <v>0.58636349763467088</v>
      </c>
    </row>
    <row r="96" spans="2:10" ht="13.95" customHeight="1">
      <c r="B96" s="6">
        <v>2037</v>
      </c>
      <c r="C96" s="42">
        <f t="shared" si="14"/>
        <v>4.6598333333333304E-5</v>
      </c>
      <c r="D96" s="42">
        <f t="shared" si="12"/>
        <v>4.6598333333333304E-5</v>
      </c>
      <c r="E96" s="42">
        <f t="shared" si="15"/>
        <v>4.1938499999999971E-5</v>
      </c>
      <c r="F96" s="42">
        <f t="shared" si="13"/>
        <v>4.1938499999999971E-5</v>
      </c>
      <c r="G96" s="42">
        <f t="shared" si="16"/>
        <v>5.1258166666666643E-5</v>
      </c>
      <c r="H96" s="42">
        <f t="shared" si="11"/>
        <v>5.1258166666666643E-5</v>
      </c>
      <c r="I96" s="109">
        <f>'DD Water_Total'!K58</f>
        <v>0.4089016481001071</v>
      </c>
      <c r="J96" s="109">
        <f>'DD Water_Total'!L58</f>
        <v>0.5910983518998929</v>
      </c>
    </row>
    <row r="97" spans="2:10">
      <c r="B97" s="6">
        <v>2038</v>
      </c>
      <c r="C97" s="42">
        <f t="shared" si="14"/>
        <v>4.6476666666666634E-5</v>
      </c>
      <c r="D97" s="42">
        <f t="shared" si="12"/>
        <v>4.6476666666666634E-5</v>
      </c>
      <c r="E97" s="42">
        <f t="shared" si="15"/>
        <v>4.1828999999999968E-5</v>
      </c>
      <c r="F97" s="42">
        <f t="shared" si="13"/>
        <v>4.1828999999999968E-5</v>
      </c>
      <c r="G97" s="42">
        <f t="shared" si="16"/>
        <v>5.1124333333333307E-5</v>
      </c>
      <c r="H97" s="42">
        <f t="shared" si="11"/>
        <v>5.1124333333333307E-5</v>
      </c>
      <c r="I97" s="109">
        <f>'DD Water_Total'!K59</f>
        <v>0.40416679383488507</v>
      </c>
      <c r="J97" s="109">
        <f>'DD Water_Total'!L59</f>
        <v>0.59583320616511493</v>
      </c>
    </row>
    <row r="98" spans="2:10">
      <c r="B98" s="6">
        <v>2039</v>
      </c>
      <c r="C98" s="42">
        <f t="shared" si="14"/>
        <v>4.6354999999999965E-5</v>
      </c>
      <c r="D98" s="42">
        <f t="shared" si="12"/>
        <v>4.6354999999999965E-5</v>
      </c>
      <c r="E98" s="42">
        <f t="shared" si="15"/>
        <v>4.1719499999999965E-5</v>
      </c>
      <c r="F98" s="42">
        <f t="shared" si="13"/>
        <v>4.1719499999999965E-5</v>
      </c>
      <c r="G98" s="42">
        <f t="shared" si="16"/>
        <v>5.0990499999999972E-5</v>
      </c>
      <c r="H98" s="42">
        <f t="shared" si="11"/>
        <v>5.0990499999999972E-5</v>
      </c>
      <c r="I98" s="109">
        <f>'DD Water_Total'!K60</f>
        <v>0.39943193956966305</v>
      </c>
      <c r="J98" s="109">
        <f>'DD Water_Total'!L60</f>
        <v>0.60056806043033695</v>
      </c>
    </row>
    <row r="99" spans="2:10">
      <c r="B99" s="6">
        <v>2040</v>
      </c>
      <c r="C99" s="42">
        <f t="shared" si="14"/>
        <v>4.6233333333333296E-5</v>
      </c>
      <c r="D99" s="141">
        <f t="shared" si="12"/>
        <v>4.5678533333333299E-5</v>
      </c>
      <c r="E99" s="141">
        <f t="shared" si="15"/>
        <v>4.1609999999999962E-5</v>
      </c>
      <c r="F99" s="141">
        <f t="shared" si="13"/>
        <v>4.1110679999999964E-5</v>
      </c>
      <c r="G99" s="141">
        <f t="shared" si="16"/>
        <v>5.0856666666666637E-5</v>
      </c>
      <c r="H99" s="141">
        <f t="shared" si="11"/>
        <v>5.0246386666666635E-5</v>
      </c>
      <c r="I99" s="109">
        <f>'DD Water_Total'!K61</f>
        <v>0.39469708530444103</v>
      </c>
      <c r="J99" s="109">
        <f>'DD Water_Total'!L61</f>
        <v>0.60530291469555897</v>
      </c>
    </row>
    <row r="100" spans="2:10">
      <c r="B100" s="6">
        <v>2041</v>
      </c>
      <c r="C100" s="42">
        <f t="shared" si="14"/>
        <v>4.6111666666666627E-5</v>
      </c>
      <c r="D100" s="141">
        <f t="shared" si="12"/>
        <v>4.5558326666666624E-5</v>
      </c>
      <c r="E100" s="141">
        <f t="shared" si="15"/>
        <v>4.150049999999996E-5</v>
      </c>
      <c r="F100" s="141">
        <f t="shared" si="13"/>
        <v>4.1002493999999962E-5</v>
      </c>
      <c r="G100" s="141">
        <f t="shared" si="16"/>
        <v>5.0722833333333301E-5</v>
      </c>
      <c r="H100" s="141">
        <f t="shared" si="11"/>
        <v>5.0114159333333299E-5</v>
      </c>
      <c r="I100" s="109">
        <f>'DD Water_Total'!K62</f>
        <v>0.38996223103921901</v>
      </c>
      <c r="J100" s="109">
        <f>'DD Water_Total'!L62</f>
        <v>0.61003776896078099</v>
      </c>
    </row>
    <row r="101" spans="2:10">
      <c r="B101" s="6">
        <v>2042</v>
      </c>
      <c r="C101" s="42">
        <f t="shared" si="14"/>
        <v>4.5989999999999958E-5</v>
      </c>
      <c r="D101" s="42">
        <f t="shared" si="12"/>
        <v>4.5438119999999955E-5</v>
      </c>
      <c r="E101" s="42">
        <f t="shared" si="15"/>
        <v>4.1390999999999957E-5</v>
      </c>
      <c r="F101" s="42">
        <f t="shared" si="13"/>
        <v>4.0894307999999954E-5</v>
      </c>
      <c r="G101" s="42">
        <f t="shared" si="16"/>
        <v>5.0588999999999966E-5</v>
      </c>
      <c r="H101" s="42">
        <f t="shared" si="11"/>
        <v>4.9981931999999964E-5</v>
      </c>
      <c r="I101" s="109">
        <f>'DD Water_Total'!K63</f>
        <v>0.38522737677399699</v>
      </c>
      <c r="J101" s="109">
        <f>'DD Water_Total'!L63</f>
        <v>0.61477262322600301</v>
      </c>
    </row>
    <row r="102" spans="2:10">
      <c r="B102" s="6">
        <v>2043</v>
      </c>
      <c r="C102" s="42">
        <f t="shared" si="14"/>
        <v>4.5868333333333289E-5</v>
      </c>
      <c r="D102" s="42">
        <f t="shared" si="12"/>
        <v>4.5317913333333287E-5</v>
      </c>
      <c r="E102" s="42">
        <f t="shared" si="15"/>
        <v>4.1281499999999954E-5</v>
      </c>
      <c r="F102" s="42">
        <f t="shared" si="13"/>
        <v>4.0786121999999952E-5</v>
      </c>
      <c r="G102" s="42">
        <f t="shared" si="16"/>
        <v>5.045516666666663E-5</v>
      </c>
      <c r="H102" s="42">
        <f t="shared" si="11"/>
        <v>4.9849704666666628E-5</v>
      </c>
      <c r="I102" s="109">
        <f>'DD Water_Total'!K64</f>
        <v>0.38049252250877497</v>
      </c>
      <c r="J102" s="109">
        <f>'DD Water_Total'!L64</f>
        <v>0.61950747749122503</v>
      </c>
    </row>
    <row r="103" spans="2:10">
      <c r="B103" s="6">
        <v>2044</v>
      </c>
      <c r="C103" s="42">
        <f t="shared" si="14"/>
        <v>4.5746666666666619E-5</v>
      </c>
      <c r="D103" s="42">
        <f t="shared" si="12"/>
        <v>4.5197706666666618E-5</v>
      </c>
      <c r="E103" s="42">
        <f t="shared" si="15"/>
        <v>4.1171999999999951E-5</v>
      </c>
      <c r="F103" s="42">
        <f t="shared" si="13"/>
        <v>4.067793599999995E-5</v>
      </c>
      <c r="G103" s="42">
        <f t="shared" si="16"/>
        <v>5.0321333333333295E-5</v>
      </c>
      <c r="H103" s="42">
        <f t="shared" si="11"/>
        <v>4.9717477333333292E-5</v>
      </c>
      <c r="I103" s="109">
        <f>'DD Water_Total'!K65</f>
        <v>0.37575766824355294</v>
      </c>
      <c r="J103" s="109">
        <f>'DD Water_Total'!L65</f>
        <v>0.62424233175644706</v>
      </c>
    </row>
    <row r="104" spans="2:10">
      <c r="B104" s="6">
        <v>2045</v>
      </c>
      <c r="C104" s="42">
        <f t="shared" si="14"/>
        <v>4.562499999999995E-5</v>
      </c>
      <c r="D104" s="42">
        <f t="shared" si="12"/>
        <v>4.5077499999999949E-5</v>
      </c>
      <c r="E104" s="42">
        <f t="shared" si="15"/>
        <v>4.1062499999999948E-5</v>
      </c>
      <c r="F104" s="42">
        <f t="shared" si="13"/>
        <v>4.0569749999999948E-5</v>
      </c>
      <c r="G104" s="42">
        <f t="shared" si="16"/>
        <v>5.018749999999996E-5</v>
      </c>
      <c r="H104" s="42">
        <f t="shared" si="11"/>
        <v>4.9585249999999957E-5</v>
      </c>
      <c r="I104" s="109">
        <f>'DD Water_Total'!K66</f>
        <v>0.37102281397833092</v>
      </c>
      <c r="J104" s="109">
        <f>'DD Water_Total'!L66</f>
        <v>0.62897718602166908</v>
      </c>
    </row>
    <row r="105" spans="2:10">
      <c r="B105" s="6">
        <v>2046</v>
      </c>
      <c r="C105" s="42">
        <f t="shared" si="14"/>
        <v>4.5503333333333281E-5</v>
      </c>
      <c r="D105" s="42">
        <f t="shared" si="12"/>
        <v>4.495729333333328E-5</v>
      </c>
      <c r="E105" s="42">
        <f t="shared" si="15"/>
        <v>4.0952999999999945E-5</v>
      </c>
      <c r="F105" s="42">
        <f t="shared" si="13"/>
        <v>4.0461563999999946E-5</v>
      </c>
      <c r="G105" s="42">
        <f t="shared" si="16"/>
        <v>5.0053666666666624E-5</v>
      </c>
      <c r="H105" s="42">
        <f t="shared" si="11"/>
        <v>4.9453022666666621E-5</v>
      </c>
      <c r="I105" s="109">
        <f>'DD Water_Total'!K67</f>
        <v>0.3662879597131089</v>
      </c>
      <c r="J105" s="109">
        <f>'DD Water_Total'!L67</f>
        <v>0.6337120402868911</v>
      </c>
    </row>
    <row r="106" spans="2:10">
      <c r="B106" s="6">
        <v>2047</v>
      </c>
      <c r="C106" s="42">
        <f t="shared" si="14"/>
        <v>4.5381666666666612E-5</v>
      </c>
      <c r="D106" s="42">
        <f t="shared" si="12"/>
        <v>4.4837086666666612E-5</v>
      </c>
      <c r="E106" s="42">
        <f t="shared" si="15"/>
        <v>4.0843499999999942E-5</v>
      </c>
      <c r="F106" s="42">
        <f t="shared" si="13"/>
        <v>4.0353377999999945E-5</v>
      </c>
      <c r="G106" s="42">
        <f t="shared" si="16"/>
        <v>4.9919833333333289E-5</v>
      </c>
      <c r="H106" s="42">
        <f t="shared" si="11"/>
        <v>4.9320795333333286E-5</v>
      </c>
      <c r="I106" s="109">
        <f>'DD Water_Total'!K68</f>
        <v>0.36155310544788688</v>
      </c>
      <c r="J106" s="109">
        <f>'DD Water_Total'!L68</f>
        <v>0.63844689455211312</v>
      </c>
    </row>
    <row r="107" spans="2:10">
      <c r="B107" s="6">
        <v>2048</v>
      </c>
      <c r="C107" s="42">
        <f t="shared" si="14"/>
        <v>4.5259999999999943E-5</v>
      </c>
      <c r="D107" s="42">
        <f t="shared" si="12"/>
        <v>4.4716879999999943E-5</v>
      </c>
      <c r="E107" s="42">
        <f t="shared" si="15"/>
        <v>4.0733999999999939E-5</v>
      </c>
      <c r="F107" s="42">
        <f t="shared" si="13"/>
        <v>4.0245191999999936E-5</v>
      </c>
      <c r="G107" s="42">
        <f t="shared" si="16"/>
        <v>4.9785999999999953E-5</v>
      </c>
      <c r="H107" s="42">
        <f t="shared" si="11"/>
        <v>4.918856799999995E-5</v>
      </c>
      <c r="I107" s="109">
        <f>'DD Water_Total'!K69</f>
        <v>0.35681825118266486</v>
      </c>
      <c r="J107" s="109">
        <f>'DD Water_Total'!L69</f>
        <v>0.64318174881733514</v>
      </c>
    </row>
    <row r="108" spans="2:10">
      <c r="B108" s="6">
        <v>2049</v>
      </c>
      <c r="C108" s="42">
        <f t="shared" si="14"/>
        <v>4.5138333333333274E-5</v>
      </c>
      <c r="D108" s="42">
        <f t="shared" si="12"/>
        <v>4.4596673333333274E-5</v>
      </c>
      <c r="E108" s="42">
        <f t="shared" si="15"/>
        <v>4.0624499999999936E-5</v>
      </c>
      <c r="F108" s="42">
        <f t="shared" si="13"/>
        <v>4.0137005999999934E-5</v>
      </c>
      <c r="G108" s="42">
        <f t="shared" si="16"/>
        <v>4.9652166666666618E-5</v>
      </c>
      <c r="H108" s="42">
        <f t="shared" si="11"/>
        <v>4.9056340666666615E-5</v>
      </c>
      <c r="I108" s="109">
        <f>'DD Water_Total'!K70</f>
        <v>0.35208339691744284</v>
      </c>
      <c r="J108" s="109">
        <f>'DD Water_Total'!L70</f>
        <v>0.64791660308255716</v>
      </c>
    </row>
    <row r="109" spans="2:10">
      <c r="B109" s="6">
        <v>2050</v>
      </c>
      <c r="C109" s="42">
        <f t="shared" si="14"/>
        <v>4.5016666666666604E-5</v>
      </c>
      <c r="D109" s="42">
        <f t="shared" si="12"/>
        <v>4.4476466666666606E-5</v>
      </c>
      <c r="E109" s="42">
        <f t="shared" si="15"/>
        <v>4.0514999999999933E-5</v>
      </c>
      <c r="F109" s="42">
        <f t="shared" si="13"/>
        <v>4.0028819999999932E-5</v>
      </c>
      <c r="G109" s="42">
        <f t="shared" si="16"/>
        <v>4.9518333333333282E-5</v>
      </c>
      <c r="H109" s="42">
        <f t="shared" si="11"/>
        <v>4.8924113333333279E-5</v>
      </c>
      <c r="I109" s="109">
        <f>'DD Water_Total'!K71</f>
        <v>0.34734854265222082</v>
      </c>
      <c r="J109" s="109">
        <f>'DD Water_Total'!L71</f>
        <v>0.65265145734777918</v>
      </c>
    </row>
    <row r="110" spans="2:10">
      <c r="B110" s="6">
        <v>2051</v>
      </c>
      <c r="C110" s="42">
        <f t="shared" si="14"/>
        <v>4.4894999999999935E-5</v>
      </c>
      <c r="D110" s="42">
        <f t="shared" si="12"/>
        <v>4.4356259999999937E-5</v>
      </c>
      <c r="E110" s="42">
        <f t="shared" si="15"/>
        <v>4.040549999999993E-5</v>
      </c>
      <c r="F110" s="42">
        <f t="shared" si="13"/>
        <v>3.992063399999993E-5</v>
      </c>
      <c r="G110" s="42">
        <f t="shared" si="16"/>
        <v>4.9384499999999947E-5</v>
      </c>
      <c r="H110" s="42">
        <f t="shared" si="11"/>
        <v>4.879188599999995E-5</v>
      </c>
      <c r="I110" s="109">
        <f>'DD Water_Total'!K72</f>
        <v>0.34261368838699879</v>
      </c>
      <c r="J110" s="109">
        <f>'DD Water_Total'!L72</f>
        <v>0.65738631161300121</v>
      </c>
    </row>
    <row r="111" spans="2:10">
      <c r="B111" s="6">
        <v>2052</v>
      </c>
      <c r="C111" s="42">
        <f t="shared" si="14"/>
        <v>4.4773333333333266E-5</v>
      </c>
      <c r="D111" s="42">
        <f t="shared" si="12"/>
        <v>4.4236053333333268E-5</v>
      </c>
      <c r="E111" s="42">
        <f t="shared" si="15"/>
        <v>4.0295999999999927E-5</v>
      </c>
      <c r="F111" s="42">
        <f t="shared" si="13"/>
        <v>3.9812447999999929E-5</v>
      </c>
      <c r="G111" s="42">
        <f t="shared" si="16"/>
        <v>4.9250666666666612E-5</v>
      </c>
      <c r="H111" s="42">
        <f t="shared" si="11"/>
        <v>4.8659658666666615E-5</v>
      </c>
      <c r="I111" s="109">
        <f>'DD Water_Total'!K73</f>
        <v>0.33787883412177677</v>
      </c>
      <c r="J111" s="109">
        <f>'DD Water_Total'!L73</f>
        <v>0.66212116587822323</v>
      </c>
    </row>
    <row r="112" spans="2:10">
      <c r="B112" s="6">
        <v>2053</v>
      </c>
      <c r="C112" s="42">
        <f t="shared" si="14"/>
        <v>4.4651666666666597E-5</v>
      </c>
      <c r="D112" s="42">
        <f t="shared" si="12"/>
        <v>4.41158466666666E-5</v>
      </c>
      <c r="E112" s="42">
        <f t="shared" si="15"/>
        <v>4.0186499999999924E-5</v>
      </c>
      <c r="F112" s="42">
        <f t="shared" si="13"/>
        <v>3.9704261999999927E-5</v>
      </c>
      <c r="G112" s="42">
        <f t="shared" si="16"/>
        <v>4.9116833333333276E-5</v>
      </c>
      <c r="H112" s="42">
        <f t="shared" si="11"/>
        <v>4.8527431333333279E-5</v>
      </c>
      <c r="I112" s="109">
        <f>'DD Water_Total'!K74</f>
        <v>0.33314397985655475</v>
      </c>
      <c r="J112" s="109">
        <f>'DD Water_Total'!L74</f>
        <v>0.66685602014344525</v>
      </c>
    </row>
    <row r="113" spans="2:10">
      <c r="B113" s="6">
        <v>2054</v>
      </c>
      <c r="C113" s="42">
        <f t="shared" si="14"/>
        <v>4.4529999999999928E-5</v>
      </c>
      <c r="D113" s="42">
        <f t="shared" si="12"/>
        <v>4.3995639999999931E-5</v>
      </c>
      <c r="E113" s="42">
        <f t="shared" si="15"/>
        <v>4.0076999999999921E-5</v>
      </c>
      <c r="F113" s="42">
        <f t="shared" si="13"/>
        <v>3.9596075999999925E-5</v>
      </c>
      <c r="G113" s="42">
        <f t="shared" si="16"/>
        <v>4.8982999999999941E-5</v>
      </c>
      <c r="H113" s="42">
        <f t="shared" si="11"/>
        <v>4.8395203999999944E-5</v>
      </c>
      <c r="I113" s="109">
        <f>'DD Water_Total'!K75</f>
        <v>0.32840912559133273</v>
      </c>
      <c r="J113" s="109">
        <f>'DD Water_Total'!L75</f>
        <v>0.67159087440866727</v>
      </c>
    </row>
    <row r="114" spans="2:10">
      <c r="B114" s="6">
        <v>2055</v>
      </c>
      <c r="C114" s="42">
        <f t="shared" si="14"/>
        <v>4.4408333333333259E-5</v>
      </c>
      <c r="D114" s="42">
        <f t="shared" si="12"/>
        <v>4.3875433333333262E-5</v>
      </c>
      <c r="E114" s="42">
        <f t="shared" si="15"/>
        <v>3.9967499999999918E-5</v>
      </c>
      <c r="F114" s="42">
        <f t="shared" si="13"/>
        <v>3.9487889999999916E-5</v>
      </c>
      <c r="G114" s="42">
        <f t="shared" si="16"/>
        <v>4.8849166666666605E-5</v>
      </c>
      <c r="H114" s="42">
        <f t="shared" si="11"/>
        <v>4.8262976666666608E-5</v>
      </c>
      <c r="I114" s="109">
        <f>'DD Water_Total'!K76</f>
        <v>0.32367427132611071</v>
      </c>
      <c r="J114" s="109">
        <f>'DD Water_Total'!L76</f>
        <v>0.67632572867388929</v>
      </c>
    </row>
    <row r="115" spans="2:10">
      <c r="B115" s="6">
        <v>2056</v>
      </c>
      <c r="C115" s="42">
        <f t="shared" si="14"/>
        <v>4.4286666666666589E-5</v>
      </c>
      <c r="D115" s="42">
        <f t="shared" si="12"/>
        <v>4.3755226666666587E-5</v>
      </c>
      <c r="E115" s="42">
        <f t="shared" si="15"/>
        <v>3.9857999999999916E-5</v>
      </c>
      <c r="F115" s="42">
        <f t="shared" si="13"/>
        <v>3.9379703999999915E-5</v>
      </c>
      <c r="G115" s="42">
        <f t="shared" si="16"/>
        <v>4.871533333333327E-5</v>
      </c>
      <c r="H115" s="42">
        <f t="shared" si="11"/>
        <v>4.8130749333333273E-5</v>
      </c>
      <c r="I115" s="109">
        <f>'DD Water_Total'!K77</f>
        <v>0.31893941706088869</v>
      </c>
      <c r="J115" s="109">
        <f>'DD Water_Total'!L77</f>
        <v>0.68106058293911131</v>
      </c>
    </row>
    <row r="116" spans="2:10">
      <c r="B116" s="6">
        <v>2057</v>
      </c>
      <c r="C116" s="42">
        <f t="shared" si="14"/>
        <v>4.416499999999992E-5</v>
      </c>
      <c r="D116" s="42">
        <f t="shared" si="12"/>
        <v>4.3635019999999918E-5</v>
      </c>
      <c r="E116" s="42">
        <f t="shared" si="15"/>
        <v>3.9748499999999913E-5</v>
      </c>
      <c r="F116" s="42">
        <f t="shared" si="13"/>
        <v>3.9271517999999913E-5</v>
      </c>
      <c r="G116" s="42">
        <f t="shared" si="16"/>
        <v>4.8581499999999935E-5</v>
      </c>
      <c r="H116" s="42">
        <f t="shared" si="11"/>
        <v>4.7998521999999937E-5</v>
      </c>
      <c r="I116" s="109">
        <f>'DD Water_Total'!K78</f>
        <v>0.31420456279566666</v>
      </c>
      <c r="J116" s="109">
        <f>'DD Water_Total'!L78</f>
        <v>0.68579543720433334</v>
      </c>
    </row>
    <row r="117" spans="2:10">
      <c r="B117" s="6">
        <v>2058</v>
      </c>
      <c r="C117" s="42">
        <f t="shared" si="14"/>
        <v>4.4043333333333251E-5</v>
      </c>
      <c r="D117" s="42">
        <f t="shared" si="12"/>
        <v>4.351481333333325E-5</v>
      </c>
      <c r="E117" s="42">
        <f t="shared" si="15"/>
        <v>3.963899999999991E-5</v>
      </c>
      <c r="F117" s="42">
        <f t="shared" si="13"/>
        <v>3.9163331999999911E-5</v>
      </c>
      <c r="G117" s="42">
        <f t="shared" si="16"/>
        <v>4.8447666666666599E-5</v>
      </c>
      <c r="H117" s="42">
        <f t="shared" si="11"/>
        <v>4.7866294666666602E-5</v>
      </c>
      <c r="I117" s="109">
        <f>'DD Water_Total'!K79</f>
        <v>0.30946970853044464</v>
      </c>
      <c r="J117" s="109">
        <f>'DD Water_Total'!L79</f>
        <v>0.69053029146955536</v>
      </c>
    </row>
    <row r="118" spans="2:10">
      <c r="B118" s="6">
        <v>2059</v>
      </c>
      <c r="C118" s="42">
        <f t="shared" si="14"/>
        <v>4.3921666666666582E-5</v>
      </c>
      <c r="D118" s="42">
        <f t="shared" si="12"/>
        <v>4.3394606666666581E-5</v>
      </c>
      <c r="E118" s="42">
        <f t="shared" si="15"/>
        <v>3.9529499999999907E-5</v>
      </c>
      <c r="F118" s="42">
        <f t="shared" si="13"/>
        <v>3.9055145999999909E-5</v>
      </c>
      <c r="G118" s="42">
        <f t="shared" si="16"/>
        <v>4.8313833333333264E-5</v>
      </c>
      <c r="H118" s="42">
        <f t="shared" si="11"/>
        <v>4.7734067333333266E-5</v>
      </c>
      <c r="I118" s="109">
        <f>'DD Water_Total'!K80</f>
        <v>0.30473485426522262</v>
      </c>
      <c r="J118" s="109">
        <f>'DD Water_Total'!L80</f>
        <v>0.69526514573477738</v>
      </c>
    </row>
    <row r="119" spans="2:10">
      <c r="B119" s="6">
        <v>2060</v>
      </c>
      <c r="C119" s="53">
        <f>D14</f>
        <v>4.3799999999999994E-5</v>
      </c>
      <c r="D119" s="42">
        <f t="shared" si="12"/>
        <v>4.3274399999999993E-5</v>
      </c>
      <c r="E119" s="53">
        <f>D14*0.9</f>
        <v>3.9419999999999999E-5</v>
      </c>
      <c r="F119" s="42">
        <f t="shared" si="13"/>
        <v>3.8946959999999995E-5</v>
      </c>
      <c r="G119" s="53">
        <f>D14*1.1</f>
        <v>4.8179999999999996E-5</v>
      </c>
      <c r="H119" s="42">
        <f t="shared" si="11"/>
        <v>4.7601839999999998E-5</v>
      </c>
      <c r="I119" s="109">
        <f>'DD Water_Total'!K81</f>
        <v>0.3</v>
      </c>
      <c r="J119" s="109">
        <f>'DD Water_Total'!L81</f>
        <v>0.7</v>
      </c>
    </row>
    <row r="120" spans="2:10">
      <c r="B120" s="6">
        <v>2061</v>
      </c>
      <c r="C120" s="42">
        <f>$C$119</f>
        <v>4.3799999999999994E-5</v>
      </c>
      <c r="D120" s="42">
        <f t="shared" si="12"/>
        <v>4.3274399999999993E-5</v>
      </c>
      <c r="E120" s="42">
        <f>$E$119</f>
        <v>3.9419999999999999E-5</v>
      </c>
      <c r="F120" s="42">
        <f t="shared" si="13"/>
        <v>3.8946959999999995E-5</v>
      </c>
      <c r="G120" s="42">
        <f>$G$119</f>
        <v>4.8179999999999996E-5</v>
      </c>
      <c r="H120" s="42">
        <f t="shared" si="11"/>
        <v>4.7601839999999998E-5</v>
      </c>
      <c r="I120" s="109">
        <f>'DD Water_Total'!K82</f>
        <v>0.3</v>
      </c>
      <c r="J120" s="109">
        <f>'DD Water_Total'!L82</f>
        <v>0.7</v>
      </c>
    </row>
    <row r="121" spans="2:10">
      <c r="B121" s="6">
        <v>2062</v>
      </c>
      <c r="C121" s="42">
        <f>$C$119</f>
        <v>4.3799999999999994E-5</v>
      </c>
      <c r="D121" s="42">
        <f t="shared" si="12"/>
        <v>4.3274399999999993E-5</v>
      </c>
      <c r="E121" s="42">
        <f>$E$119</f>
        <v>3.9419999999999999E-5</v>
      </c>
      <c r="F121" s="42">
        <f t="shared" si="13"/>
        <v>3.8946959999999995E-5</v>
      </c>
      <c r="G121" s="42">
        <f>$G$119</f>
        <v>4.8179999999999996E-5</v>
      </c>
      <c r="H121" s="42">
        <f t="shared" si="11"/>
        <v>4.7601839999999998E-5</v>
      </c>
      <c r="I121" s="109">
        <f>'DD Water_Total'!K83</f>
        <v>0.3</v>
      </c>
      <c r="J121" s="109">
        <f>'DD Water_Total'!L83</f>
        <v>0.7</v>
      </c>
    </row>
    <row r="122" spans="2:10">
      <c r="B122" s="6">
        <v>2063</v>
      </c>
      <c r="C122" s="42">
        <f>$C$119</f>
        <v>4.3799999999999994E-5</v>
      </c>
      <c r="D122" s="42">
        <f t="shared" si="12"/>
        <v>4.3274399999999993E-5</v>
      </c>
      <c r="E122" s="42">
        <f>$E$119</f>
        <v>3.9419999999999999E-5</v>
      </c>
      <c r="F122" s="42">
        <f t="shared" si="13"/>
        <v>3.8946959999999995E-5</v>
      </c>
      <c r="G122" s="42">
        <f>$G$119</f>
        <v>4.8179999999999996E-5</v>
      </c>
      <c r="H122" s="42">
        <f t="shared" si="11"/>
        <v>4.7601839999999998E-5</v>
      </c>
      <c r="I122" s="109">
        <f>'DD Water_Total'!K84</f>
        <v>0.3</v>
      </c>
      <c r="J122" s="109">
        <f>'DD Water_Total'!L84</f>
        <v>0.7</v>
      </c>
    </row>
    <row r="123" spans="2:10">
      <c r="B123" s="6">
        <v>2064</v>
      </c>
      <c r="C123" s="42">
        <f>$C$119</f>
        <v>4.3799999999999994E-5</v>
      </c>
      <c r="D123" s="42">
        <f t="shared" si="12"/>
        <v>4.3274399999999993E-5</v>
      </c>
      <c r="E123" s="42">
        <f>$E$119</f>
        <v>3.9419999999999999E-5</v>
      </c>
      <c r="F123" s="42">
        <f t="shared" si="13"/>
        <v>3.8946959999999995E-5</v>
      </c>
      <c r="G123" s="42">
        <f>$G$119</f>
        <v>4.8179999999999996E-5</v>
      </c>
      <c r="H123" s="42">
        <f t="shared" si="11"/>
        <v>4.7601839999999998E-5</v>
      </c>
      <c r="I123" s="109">
        <f>'DD Water_Total'!K85</f>
        <v>0.3</v>
      </c>
      <c r="J123" s="109">
        <f>'DD Water_Total'!L85</f>
        <v>0.7</v>
      </c>
    </row>
    <row r="124" spans="2:10">
      <c r="B124" s="6">
        <v>2065</v>
      </c>
      <c r="C124" s="42">
        <f>$C$119</f>
        <v>4.3799999999999994E-5</v>
      </c>
      <c r="D124" s="42">
        <f t="shared" si="12"/>
        <v>4.3274399999999993E-5</v>
      </c>
      <c r="E124" s="42">
        <f>$E$119</f>
        <v>3.9419999999999999E-5</v>
      </c>
      <c r="F124" s="42">
        <f t="shared" si="13"/>
        <v>3.8946959999999995E-5</v>
      </c>
      <c r="G124" s="42">
        <f>$G$119</f>
        <v>4.8179999999999996E-5</v>
      </c>
      <c r="H124" s="42">
        <f t="shared" si="11"/>
        <v>4.7601839999999998E-5</v>
      </c>
      <c r="I124" s="109">
        <f>'DD Water_Total'!K86</f>
        <v>0.3</v>
      </c>
      <c r="J124" s="109">
        <f>'DD Water_Total'!L86</f>
        <v>0.7</v>
      </c>
    </row>
  </sheetData>
  <sheetProtection sheet="1" objects="1" scenarios="1"/>
  <mergeCells count="20">
    <mergeCell ref="J28:N28"/>
    <mergeCell ref="B17:C17"/>
    <mergeCell ref="B18:C18"/>
    <mergeCell ref="B19:C19"/>
    <mergeCell ref="D28:E28"/>
    <mergeCell ref="F28:G28"/>
    <mergeCell ref="H28:I28"/>
    <mergeCell ref="B4:C4"/>
    <mergeCell ref="B5:C5"/>
    <mergeCell ref="B22:C22"/>
    <mergeCell ref="B28:B29"/>
    <mergeCell ref="C28:C29"/>
    <mergeCell ref="B23:C23"/>
    <mergeCell ref="B8:C8"/>
    <mergeCell ref="B9:C9"/>
    <mergeCell ref="C78:D78"/>
    <mergeCell ref="E78:F78"/>
    <mergeCell ref="G78:H78"/>
    <mergeCell ref="I78:I79"/>
    <mergeCell ref="J78:J79"/>
  </mergeCells>
  <conditionalFormatting sqref="D8:D9 C13:C14 D17:D19 D22:D23">
    <cfRule type="containsBlanks" dxfId="2" priority="2">
      <formula>LEN(TRIM(C8))=0</formula>
    </cfRule>
  </conditionalFormatting>
  <dataValidations count="1">
    <dataValidation type="list" allowBlank="1" showInputMessage="1" showErrorMessage="1" sqref="D8:D9" xr:uid="{8187E71E-BBC7-42F8-9280-040B54F08E04}">
      <formula1>"Low, Medium, High"</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7">
        <x14:dataValidation type="list" allowBlank="1" showInputMessage="1" showErrorMessage="1" xr:uid="{61BA7047-795F-407C-B1A1-B31267F9EF82}">
          <x14:formula1>
            <xm:f>'LIST-Conserv_Eff'!$C$6:$C$12</xm:f>
          </x14:formula1>
          <xm:sqref>C14</xm:sqref>
        </x14:dataValidation>
        <x14:dataValidation type="list" allowBlank="1" showInputMessage="1" showErrorMessage="1" xr:uid="{E838703F-F92C-4097-AD3D-12CE4869A87D}">
          <x14:formula1>
            <xm:f>'LIST-Conserv_Eff'!$B$6:$B$11</xm:f>
          </x14:formula1>
          <xm:sqref>C13</xm:sqref>
        </x14:dataValidation>
        <x14:dataValidation type="list" allowBlank="1" showInputMessage="1" showErrorMessage="1" xr:uid="{678FAA28-7579-4254-8FCE-2CEA00092441}">
          <x14:formula1>
            <xm:f>'LIST-Px&amp;DD'!$F$5:$F$14</xm:f>
          </x14:formula1>
          <xm:sqref>D19</xm:sqref>
        </x14:dataValidation>
        <x14:dataValidation type="list" allowBlank="1" showInputMessage="1" showErrorMessage="1" xr:uid="{389E863E-E823-4AFC-851E-A869560D7DC4}">
          <x14:formula1>
            <xm:f>'LIST-Px&amp;DD'!$D$5:$D$45</xm:f>
          </x14:formula1>
          <xm:sqref>D18</xm:sqref>
        </x14:dataValidation>
        <x14:dataValidation type="list" allowBlank="1" showInputMessage="1" showErrorMessage="1" xr:uid="{4658ADBE-56D6-42BB-8FDF-C340C1422796}">
          <x14:formula1>
            <xm:f>'LIST-Px&amp;DD'!$B$5:$B$49</xm:f>
          </x14:formula1>
          <xm:sqref>D17</xm:sqref>
        </x14:dataValidation>
        <x14:dataValidation type="list" allowBlank="1" showInputMessage="1" showErrorMessage="1" xr:uid="{F5E5BDE4-6DA6-42D2-82A9-BC8FC88DAC1B}">
          <x14:formula1>
            <xm:f>'LIST-WA End'!$B$5:$B$44</xm:f>
          </x14:formula1>
          <xm:sqref>D22</xm:sqref>
        </x14:dataValidation>
        <x14:dataValidation type="list" allowBlank="1" showInputMessage="1" showErrorMessage="1" xr:uid="{F4D814BD-B918-44E5-9D7E-109D2294A493}">
          <x14:formula1>
            <xm:f>'LIST-Reserve'!$B$5:$B$17</xm:f>
          </x14:formula1>
          <xm:sqref>D23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39192-7FBB-4154-B840-0F9086C1FD94}">
  <sheetPr codeName="Sheet19">
    <tabColor theme="2" tint="-9.9978637043366805E-2"/>
  </sheetPr>
  <dimension ref="B1:N123"/>
  <sheetViews>
    <sheetView showGridLines="0" zoomScaleNormal="100" workbookViewId="0">
      <selection activeCell="G28" sqref="G28"/>
    </sheetView>
  </sheetViews>
  <sheetFormatPr defaultRowHeight="13.8"/>
  <cols>
    <col min="1" max="1" width="2.59765625" customWidth="1"/>
    <col min="2" max="14" width="22.5" customWidth="1"/>
  </cols>
  <sheetData>
    <row r="1" spans="2:6" ht="21">
      <c r="B1" s="8" t="s">
        <v>232</v>
      </c>
      <c r="C1" s="8"/>
      <c r="D1" s="8"/>
      <c r="E1" s="8"/>
      <c r="F1" s="8"/>
    </row>
    <row r="3" spans="2:6" ht="14.4">
      <c r="B3" s="44" t="s">
        <v>66</v>
      </c>
    </row>
    <row r="4" spans="2:6">
      <c r="B4" s="196" t="s">
        <v>158</v>
      </c>
      <c r="C4" s="196"/>
      <c r="D4" s="154">
        <f>'DD Pot_Water'!I35</f>
        <v>0.58970935438505623</v>
      </c>
    </row>
    <row r="5" spans="2:6">
      <c r="B5" s="196" t="s">
        <v>237</v>
      </c>
      <c r="C5" s="196"/>
      <c r="D5" s="155">
        <f>'DD Pot_Water'!D34*365</f>
        <v>5.6403602865872866E-5</v>
      </c>
    </row>
    <row r="7" spans="2:6" ht="14.4">
      <c r="B7" s="44" t="s">
        <v>155</v>
      </c>
    </row>
    <row r="8" spans="2:6">
      <c r="B8" s="197" t="s">
        <v>10</v>
      </c>
      <c r="C8" s="198"/>
      <c r="D8" s="156" t="s">
        <v>11</v>
      </c>
    </row>
    <row r="9" spans="2:6">
      <c r="D9" s="56"/>
    </row>
    <row r="10" spans="2:6" ht="14.4">
      <c r="B10" s="44" t="s">
        <v>12</v>
      </c>
      <c r="D10" s="56"/>
    </row>
    <row r="11" spans="2:6" ht="26.4">
      <c r="C11" s="108" t="s">
        <v>156</v>
      </c>
      <c r="D11" s="134" t="s">
        <v>157</v>
      </c>
    </row>
    <row r="12" spans="2:6">
      <c r="B12" s="88" t="s">
        <v>34</v>
      </c>
      <c r="C12" s="157">
        <v>1.3E-7</v>
      </c>
      <c r="D12" s="153">
        <f>C12*365</f>
        <v>4.7450000000000001E-5</v>
      </c>
    </row>
    <row r="13" spans="2:6">
      <c r="B13" s="88" t="s">
        <v>35</v>
      </c>
      <c r="C13" s="157">
        <v>1.1999999999999999E-7</v>
      </c>
      <c r="D13" s="153">
        <f>C13*365</f>
        <v>4.3799999999999994E-5</v>
      </c>
    </row>
    <row r="14" spans="2:6">
      <c r="D14" s="135"/>
    </row>
    <row r="15" spans="2:6" ht="14.4">
      <c r="B15" s="44" t="s">
        <v>16</v>
      </c>
      <c r="D15" s="56"/>
    </row>
    <row r="16" spans="2:6">
      <c r="B16" s="197" t="s">
        <v>18</v>
      </c>
      <c r="C16" s="198"/>
      <c r="D16" s="148">
        <f>2040</f>
        <v>2040</v>
      </c>
    </row>
    <row r="17" spans="2:14">
      <c r="B17" s="197" t="s">
        <v>19</v>
      </c>
      <c r="C17" s="198"/>
      <c r="D17" s="149">
        <f>0.03</f>
        <v>0.03</v>
      </c>
    </row>
    <row r="18" spans="2:14">
      <c r="B18" s="197" t="s">
        <v>235</v>
      </c>
      <c r="C18" s="198"/>
      <c r="D18" s="150">
        <v>0.4</v>
      </c>
    </row>
    <row r="19" spans="2:14">
      <c r="D19" s="135"/>
    </row>
    <row r="20" spans="2:14" ht="14.4">
      <c r="B20" s="10" t="s">
        <v>106</v>
      </c>
      <c r="C20" s="10"/>
      <c r="D20" s="135"/>
    </row>
    <row r="21" spans="2:14">
      <c r="B21" s="197" t="s">
        <v>159</v>
      </c>
      <c r="C21" s="198"/>
      <c r="D21" s="151">
        <v>2040</v>
      </c>
    </row>
    <row r="22" spans="2:14">
      <c r="B22" s="199" t="s">
        <v>160</v>
      </c>
      <c r="C22" s="199"/>
      <c r="D22" s="152">
        <v>2</v>
      </c>
    </row>
    <row r="23" spans="2:14">
      <c r="B23" s="13"/>
      <c r="C23" s="13"/>
      <c r="D23" s="130"/>
    </row>
    <row r="25" spans="2:14" ht="14.4">
      <c r="B25" s="10" t="s">
        <v>72</v>
      </c>
    </row>
    <row r="26" spans="2:14">
      <c r="D26" s="14" t="s">
        <v>67</v>
      </c>
      <c r="E26" s="14" t="s">
        <v>67</v>
      </c>
      <c r="F26" s="14" t="s">
        <v>67</v>
      </c>
      <c r="G26" s="14" t="s">
        <v>67</v>
      </c>
      <c r="H26" s="14" t="s">
        <v>67</v>
      </c>
      <c r="I26" s="14" t="s">
        <v>67</v>
      </c>
      <c r="J26" s="14" t="s">
        <v>67</v>
      </c>
      <c r="K26" s="14" t="s">
        <v>67</v>
      </c>
      <c r="L26" s="14" t="s">
        <v>67</v>
      </c>
      <c r="M26" s="14" t="s">
        <v>67</v>
      </c>
      <c r="N26" s="14" t="s">
        <v>67</v>
      </c>
    </row>
    <row r="27" spans="2:14">
      <c r="B27" s="184" t="s">
        <v>25</v>
      </c>
      <c r="C27" s="167" t="s">
        <v>4</v>
      </c>
      <c r="D27" s="200" t="s">
        <v>7</v>
      </c>
      <c r="E27" s="201"/>
      <c r="F27" s="202" t="s">
        <v>164</v>
      </c>
      <c r="G27" s="203"/>
      <c r="H27" s="203"/>
      <c r="I27" s="203"/>
      <c r="J27" s="203"/>
      <c r="K27" s="203"/>
      <c r="L27" s="203"/>
      <c r="M27" s="203"/>
      <c r="N27" s="204"/>
    </row>
    <row r="28" spans="2:14" ht="27.6">
      <c r="B28" s="184"/>
      <c r="C28" s="167"/>
      <c r="D28" s="75" t="s">
        <v>165</v>
      </c>
      <c r="E28" s="75" t="s">
        <v>166</v>
      </c>
      <c r="F28" s="75" t="s">
        <v>185</v>
      </c>
      <c r="G28" s="75" t="s">
        <v>186</v>
      </c>
      <c r="H28" s="75" t="s">
        <v>187</v>
      </c>
      <c r="I28" s="75" t="s">
        <v>58</v>
      </c>
      <c r="J28" s="75" t="s">
        <v>57</v>
      </c>
      <c r="K28" s="75" t="s">
        <v>188</v>
      </c>
      <c r="L28" s="75" t="s">
        <v>189</v>
      </c>
      <c r="M28" s="75" t="s">
        <v>190</v>
      </c>
      <c r="N28" s="75" t="s">
        <v>168</v>
      </c>
    </row>
    <row r="29" spans="2:14">
      <c r="B29" s="6">
        <v>2021</v>
      </c>
      <c r="C29" s="3" cm="1">
        <f t="array" ref="C29">_xlfn.IFS($D$8="Low",'Pop FCST'!C29,$D$8="Medium",'Pop FCST'!D29,$D$8="High",'Pop FCST'!E29)</f>
        <v>5759019.1332</v>
      </c>
      <c r="D29" s="111">
        <f t="shared" ref="D29:D73" si="0">VLOOKUP(B29,$B$79:$D$123,3,FALSE)/$D$4*C29*(12+$D$22)/12</f>
        <v>632.43336196363884</v>
      </c>
      <c r="E29" s="64">
        <f t="shared" ref="E29:E73" si="1">VLOOKUP(B29,$B$79:$D$123,3,FALSE)/E79*C29-D29/(12+$D$22)*12</f>
        <v>117.497230662927</v>
      </c>
      <c r="F29" s="129">
        <f>'SS Water_CM'!$H52</f>
        <v>364.63848537600006</v>
      </c>
      <c r="G29" s="64">
        <f>'SS Water_CM'!$I52</f>
        <v>364.63848537600006</v>
      </c>
      <c r="H29" s="64">
        <f>'SS Water_CM'!$J52</f>
        <v>364.63848537600006</v>
      </c>
      <c r="I29" s="64">
        <f>IF(B29&gt;=$D$21,0,'SS Imported_Water'!$D$14)</f>
        <v>406.53409825</v>
      </c>
      <c r="J29" s="64">
        <f>'SS Desalin_Water'!$D$11</f>
        <v>315.45000000000005</v>
      </c>
      <c r="K29" s="64">
        <f>SUM(F29,$I29:$J29)</f>
        <v>1086.6225836260001</v>
      </c>
      <c r="L29" s="64">
        <f>SUM(G29,$I29:$J29)</f>
        <v>1086.6225836260001</v>
      </c>
      <c r="M29" s="64">
        <f>SUM(H29,$I29:$J29)</f>
        <v>1086.6225836260001</v>
      </c>
      <c r="N29" s="64">
        <f>'SS NEWater'!$D$12</f>
        <v>247.39999999999998</v>
      </c>
    </row>
    <row r="30" spans="2:14">
      <c r="B30" s="6">
        <v>2022</v>
      </c>
      <c r="C30" s="3" cm="1">
        <f t="array" ref="C30">_xlfn.IFS($D$8="Low",'Pop FCST'!C30,$D$8="Medium",'Pop FCST'!D30,$D$8="High",'Pop FCST'!E30)</f>
        <v>5832787.6786123207</v>
      </c>
      <c r="D30" s="111">
        <f t="shared" si="0"/>
        <v>630.20237905663532</v>
      </c>
      <c r="E30" s="64">
        <f t="shared" si="1"/>
        <v>123.56712497714443</v>
      </c>
      <c r="F30" s="129">
        <f>'SS Water_CM'!$H53</f>
        <v>244.53724165200003</v>
      </c>
      <c r="G30" s="64">
        <f>'SS Water_CM'!$I53</f>
        <v>277.11278971200005</v>
      </c>
      <c r="H30" s="64">
        <f>'SS Water_CM'!$J53</f>
        <v>321.66082505700001</v>
      </c>
      <c r="I30" s="64">
        <f>IF(B30&gt;=$D$21,0,'SS Imported_Water'!$D$14)</f>
        <v>406.53409825</v>
      </c>
      <c r="J30" s="64">
        <f>'SS Desalin_Water'!$D$11</f>
        <v>315.45000000000005</v>
      </c>
      <c r="K30" s="64">
        <f t="shared" ref="K30:K73" si="2">SUM(F30,$I30:$J30)</f>
        <v>966.52133990200014</v>
      </c>
      <c r="L30" s="64">
        <f t="shared" ref="L30:L73" si="3">SUM(G30,$I30:$J30)</f>
        <v>999.0968879620001</v>
      </c>
      <c r="M30" s="64">
        <f t="shared" ref="M30:M73" si="4">SUM(H30,$I30:$J30)</f>
        <v>1043.644923307</v>
      </c>
      <c r="N30" s="64">
        <f>'SS NEWater'!$D$12</f>
        <v>247.39999999999998</v>
      </c>
    </row>
    <row r="31" spans="2:14">
      <c r="B31" s="6">
        <v>2023</v>
      </c>
      <c r="C31" s="3" cm="1">
        <f t="array" ref="C31">_xlfn.IFS($D$8="Low",'Pop FCST'!C31,$D$8="Medium",'Pop FCST'!D31,$D$8="High",'Pop FCST'!E31)</f>
        <v>5907116.8649697751</v>
      </c>
      <c r="D31" s="111">
        <f t="shared" si="0"/>
        <v>627.76963623123629</v>
      </c>
      <c r="E31" s="64">
        <f t="shared" si="1"/>
        <v>129.67819605592661</v>
      </c>
      <c r="F31" s="129">
        <f>'SS Water_CM'!$H54</f>
        <v>246.87731095010525</v>
      </c>
      <c r="G31" s="64">
        <f>'SS Water_CM'!$I54</f>
        <v>279.76458674273681</v>
      </c>
      <c r="H31" s="64">
        <f>'SS Water_CM'!$J54</f>
        <v>324.73891907668417</v>
      </c>
      <c r="I31" s="64">
        <f>IF(B31&gt;=$D$21,0,'SS Imported_Water'!$D$14)</f>
        <v>406.53409825</v>
      </c>
      <c r="J31" s="64">
        <f>'SS Desalin_Water'!$D$11</f>
        <v>315.45000000000005</v>
      </c>
      <c r="K31" s="64">
        <f t="shared" si="2"/>
        <v>968.8614092001053</v>
      </c>
      <c r="L31" s="64">
        <f t="shared" si="3"/>
        <v>1001.7486849927368</v>
      </c>
      <c r="M31" s="64">
        <f t="shared" si="4"/>
        <v>1046.7230173266842</v>
      </c>
      <c r="N31" s="64">
        <f>'SS NEWater'!$D$12</f>
        <v>247.39999999999998</v>
      </c>
    </row>
    <row r="32" spans="2:14">
      <c r="B32" s="6">
        <v>2024</v>
      </c>
      <c r="C32" s="3" cm="1">
        <f t="array" ref="C32">_xlfn.IFS($D$8="Low",'Pop FCST'!C32,$D$8="Medium",'Pop FCST'!D32,$D$8="High",'Pop FCST'!E32)</f>
        <v>5982010.9531435454</v>
      </c>
      <c r="D32" s="111">
        <f t="shared" si="0"/>
        <v>625.13259946811797</v>
      </c>
      <c r="E32" s="64">
        <f t="shared" si="1"/>
        <v>135.82591504601783</v>
      </c>
      <c r="F32" s="129">
        <f>'SS Water_CM'!$H55</f>
        <v>249.21738024821056</v>
      </c>
      <c r="G32" s="64">
        <f>'SS Water_CM'!$I55</f>
        <v>282.41638377347368</v>
      </c>
      <c r="H32" s="64">
        <f>'SS Water_CM'!$J55</f>
        <v>327.81701309636844</v>
      </c>
      <c r="I32" s="64">
        <f>IF(B32&gt;=$D$21,0,'SS Imported_Water'!$D$14)</f>
        <v>406.53409825</v>
      </c>
      <c r="J32" s="64">
        <f>'SS Desalin_Water'!$D$11</f>
        <v>315.45000000000005</v>
      </c>
      <c r="K32" s="64">
        <f t="shared" si="2"/>
        <v>971.20147849821058</v>
      </c>
      <c r="L32" s="64">
        <f t="shared" si="3"/>
        <v>1004.4004820234737</v>
      </c>
      <c r="M32" s="64">
        <f t="shared" si="4"/>
        <v>1049.8011113463685</v>
      </c>
      <c r="N32" s="64">
        <f>'SS NEWater'!$D$12</f>
        <v>247.39999999999998</v>
      </c>
    </row>
    <row r="33" spans="2:14">
      <c r="B33" s="6">
        <v>2025</v>
      </c>
      <c r="C33" s="3" cm="1">
        <f t="array" ref="C33">_xlfn.IFS($D$8="Low",'Pop FCST'!C33,$D$8="Medium",'Pop FCST'!D33,$D$8="High",'Pop FCST'!E33)</f>
        <v>6057474.2363874363</v>
      </c>
      <c r="D33" s="111">
        <f t="shared" si="0"/>
        <v>622.28870788451559</v>
      </c>
      <c r="E33" s="64">
        <f t="shared" si="1"/>
        <v>142.00547445989037</v>
      </c>
      <c r="F33" s="129">
        <f>'SS Water_CM'!$H56</f>
        <v>251.55744954631572</v>
      </c>
      <c r="G33" s="64">
        <f>'SS Water_CM'!$I56</f>
        <v>285.06818080421044</v>
      </c>
      <c r="H33" s="64">
        <f>'SS Water_CM'!$J56</f>
        <v>330.8951071160526</v>
      </c>
      <c r="I33" s="64">
        <f>IF(B33&gt;=$D$21,0,'SS Imported_Water'!$D$14)</f>
        <v>406.53409825</v>
      </c>
      <c r="J33" s="64">
        <f>'SS Desalin_Water'!$D$11</f>
        <v>315.45000000000005</v>
      </c>
      <c r="K33" s="64">
        <f t="shared" si="2"/>
        <v>973.54154779631574</v>
      </c>
      <c r="L33" s="64">
        <f t="shared" si="3"/>
        <v>1007.0522790542104</v>
      </c>
      <c r="M33" s="64">
        <f t="shared" si="4"/>
        <v>1052.8792053660527</v>
      </c>
      <c r="N33" s="64">
        <f>'SS NEWater'!$D$12</f>
        <v>247.39999999999998</v>
      </c>
    </row>
    <row r="34" spans="2:14">
      <c r="B34" s="6">
        <v>2026</v>
      </c>
      <c r="C34" s="3" cm="1">
        <f t="array" ref="C34">_xlfn.IFS($D$8="Low",'Pop FCST'!C34,$D$8="Medium",'Pop FCST'!D34,$D$8="High",'Pop FCST'!E34)</f>
        <v>6133511.0405839812</v>
      </c>
      <c r="D34" s="111">
        <f t="shared" si="0"/>
        <v>619.23537347226454</v>
      </c>
      <c r="E34" s="64">
        <f t="shared" si="1"/>
        <v>148.21177262103936</v>
      </c>
      <c r="F34" s="129">
        <f>'SS Water_CM'!$H57</f>
        <v>253.89751884442094</v>
      </c>
      <c r="G34" s="64">
        <f>'SS Water_CM'!$I57</f>
        <v>287.71997783494726</v>
      </c>
      <c r="H34" s="64">
        <f>'SS Water_CM'!$J57</f>
        <v>333.97320113573676</v>
      </c>
      <c r="I34" s="64">
        <f>IF(B34&gt;=$D$21,0,'SS Imported_Water'!$D$14)</f>
        <v>406.53409825</v>
      </c>
      <c r="J34" s="64">
        <f>'SS Desalin_Water'!$D$11</f>
        <v>315.45000000000005</v>
      </c>
      <c r="K34" s="64">
        <f t="shared" si="2"/>
        <v>975.88161709442102</v>
      </c>
      <c r="L34" s="64">
        <f t="shared" si="3"/>
        <v>1009.7040760849472</v>
      </c>
      <c r="M34" s="64">
        <f t="shared" si="4"/>
        <v>1055.9572993857369</v>
      </c>
      <c r="N34" s="64">
        <f>'SS NEWater'!$D$12</f>
        <v>247.39999999999998</v>
      </c>
    </row>
    <row r="35" spans="2:14">
      <c r="B35" s="6">
        <v>2027</v>
      </c>
      <c r="C35" s="3" cm="1">
        <f t="array" ref="C35">_xlfn.IFS($D$8="Low",'Pop FCST'!C35,$D$8="Medium",'Pop FCST'!D35,$D$8="High",'Pop FCST'!E35)</f>
        <v>6210125.7244924195</v>
      </c>
      <c r="D35" s="111">
        <f t="shared" si="0"/>
        <v>615.9699808334102</v>
      </c>
      <c r="E35" s="64">
        <f t="shared" si="1"/>
        <v>154.43939712615236</v>
      </c>
      <c r="F35" s="129">
        <f>'SS Water_CM'!$H58</f>
        <v>256.23758814252631</v>
      </c>
      <c r="G35" s="64">
        <f>'SS Water_CM'!$I58</f>
        <v>290.37177486568419</v>
      </c>
      <c r="H35" s="64">
        <f>'SS Water_CM'!$J58</f>
        <v>337.05129515542097</v>
      </c>
      <c r="I35" s="64">
        <f>IF(B35&gt;=$D$21,0,'SS Imported_Water'!$D$14)</f>
        <v>406.53409825</v>
      </c>
      <c r="J35" s="64">
        <f>'SS Desalin_Water'!$D$11</f>
        <v>315.45000000000005</v>
      </c>
      <c r="K35" s="64">
        <f t="shared" si="2"/>
        <v>978.22168639252641</v>
      </c>
      <c r="L35" s="64">
        <f t="shared" si="3"/>
        <v>1012.3558731156843</v>
      </c>
      <c r="M35" s="64">
        <f t="shared" si="4"/>
        <v>1059.035393405421</v>
      </c>
      <c r="N35" s="64">
        <f>'SS NEWater'!$D$12</f>
        <v>247.39999999999998</v>
      </c>
    </row>
    <row r="36" spans="2:14">
      <c r="B36" s="6">
        <v>2028</v>
      </c>
      <c r="C36" s="3" cm="1">
        <f t="array" ref="C36">_xlfn.IFS($D$8="Low",'Pop FCST'!C36,$D$8="Medium",'Pop FCST'!D36,$D$8="High",'Pop FCST'!E36)</f>
        <v>6287322.6799985627</v>
      </c>
      <c r="D36" s="111">
        <f t="shared" si="0"/>
        <v>612.48988691336717</v>
      </c>
      <c r="E36" s="64">
        <f t="shared" si="1"/>
        <v>160.68260725182074</v>
      </c>
      <c r="F36" s="129">
        <f>'SS Water_CM'!$H59</f>
        <v>258.57765744063147</v>
      </c>
      <c r="G36" s="64">
        <f>'SS Water_CM'!$I59</f>
        <v>293.02357189642095</v>
      </c>
      <c r="H36" s="64">
        <f>'SS Water_CM'!$J59</f>
        <v>340.12938917510513</v>
      </c>
      <c r="I36" s="64">
        <f>IF(B36&gt;=$D$21,0,'SS Imported_Water'!$D$14)</f>
        <v>406.53409825</v>
      </c>
      <c r="J36" s="64">
        <f>'SS Desalin_Water'!$D$11</f>
        <v>315.45000000000005</v>
      </c>
      <c r="K36" s="64">
        <f t="shared" si="2"/>
        <v>980.56175569063157</v>
      </c>
      <c r="L36" s="64">
        <f t="shared" si="3"/>
        <v>1015.007670146421</v>
      </c>
      <c r="M36" s="64">
        <f t="shared" si="4"/>
        <v>1062.1134874251052</v>
      </c>
      <c r="N36" s="64">
        <f>'SS NEWater'!$D$12</f>
        <v>247.39999999999998</v>
      </c>
    </row>
    <row r="37" spans="2:14">
      <c r="B37" s="6">
        <v>2029</v>
      </c>
      <c r="C37" s="3" cm="1">
        <f t="array" ref="C37">_xlfn.IFS($D$8="Low",'Pop FCST'!C37,$D$8="Medium",'Pop FCST'!D37,$D$8="High",'Pop FCST'!E37)</f>
        <v>6365106.3323665522</v>
      </c>
      <c r="D37" s="111">
        <f t="shared" si="0"/>
        <v>608.79242073160299</v>
      </c>
      <c r="E37" s="64">
        <f t="shared" si="1"/>
        <v>166.93531522734145</v>
      </c>
      <c r="F37" s="129">
        <f>'SS Water_CM'!$H60</f>
        <v>260.91772673873675</v>
      </c>
      <c r="G37" s="64">
        <f>'SS Water_CM'!$I60</f>
        <v>295.67536892715771</v>
      </c>
      <c r="H37" s="64">
        <f>'SS Water_CM'!$J60</f>
        <v>343.20748319478935</v>
      </c>
      <c r="I37" s="64">
        <f>IF(B37&gt;=$D$21,0,'SS Imported_Water'!$D$14)</f>
        <v>406.53409825</v>
      </c>
      <c r="J37" s="64">
        <f>'SS Desalin_Water'!$D$11</f>
        <v>315.45000000000005</v>
      </c>
      <c r="K37" s="64">
        <f t="shared" si="2"/>
        <v>982.90182498873673</v>
      </c>
      <c r="L37" s="64">
        <f t="shared" si="3"/>
        <v>1017.6594671771577</v>
      </c>
      <c r="M37" s="64">
        <f t="shared" si="4"/>
        <v>1065.1915814447893</v>
      </c>
      <c r="N37" s="64">
        <f>'SS NEWater'!$D$12</f>
        <v>247.39999999999998</v>
      </c>
    </row>
    <row r="38" spans="2:14">
      <c r="B38" s="6">
        <v>2030</v>
      </c>
      <c r="C38" s="3" cm="1">
        <f t="array" ref="C38">_xlfn.IFS($D$8="Low",'Pop FCST'!C38,$D$8="Medium",'Pop FCST'!D38,$D$8="High",'Pop FCST'!E38)</f>
        <v>6443481.140492538</v>
      </c>
      <c r="D38" s="111">
        <f t="shared" si="0"/>
        <v>604.87488310982746</v>
      </c>
      <c r="E38" s="64">
        <f t="shared" si="1"/>
        <v>173.19106628841473</v>
      </c>
      <c r="F38" s="129">
        <f>'SS Water_CM'!$H61</f>
        <v>263.25779603684197</v>
      </c>
      <c r="G38" s="64">
        <f>'SS Water_CM'!$I61</f>
        <v>298.32716595789458</v>
      </c>
      <c r="H38" s="64">
        <f>'SS Water_CM'!$J61</f>
        <v>346.28557721447351</v>
      </c>
      <c r="I38" s="64">
        <f>IF(B38&gt;=$D$21,0,'SS Imported_Water'!$D$14)</f>
        <v>406.53409825</v>
      </c>
      <c r="J38" s="64">
        <f>'SS Desalin_Water'!$D$11</f>
        <v>315.45000000000005</v>
      </c>
      <c r="K38" s="64">
        <f t="shared" si="2"/>
        <v>985.24189428684201</v>
      </c>
      <c r="L38" s="64">
        <f t="shared" si="3"/>
        <v>1020.3112642078946</v>
      </c>
      <c r="M38" s="64">
        <f t="shared" si="4"/>
        <v>1068.2696754644735</v>
      </c>
      <c r="N38" s="64">
        <f>'SS NEWater'!$D$12</f>
        <v>247.39999999999998</v>
      </c>
    </row>
    <row r="39" spans="2:14">
      <c r="B39" s="6">
        <v>2031</v>
      </c>
      <c r="C39" s="3" cm="1">
        <f t="array" ref="C39">_xlfn.IFS($D$8="Low",'Pop FCST'!C39,$D$8="Medium",'Pop FCST'!D39,$D$8="High",'Pop FCST'!E39)</f>
        <v>6522451.5971602816</v>
      </c>
      <c r="D39" s="111">
        <f t="shared" si="0"/>
        <v>610.7181804387584</v>
      </c>
      <c r="E39" s="64">
        <f t="shared" si="1"/>
        <v>182.42518887558742</v>
      </c>
      <c r="F39" s="129">
        <f>'SS Water_CM'!$H62</f>
        <v>265.59786533494719</v>
      </c>
      <c r="G39" s="64">
        <f>'SS Water_CM'!$I62</f>
        <v>300.97896298863145</v>
      </c>
      <c r="H39" s="64">
        <f>'SS Water_CM'!$J62</f>
        <v>349.36367123415772</v>
      </c>
      <c r="I39" s="64">
        <f>IF(B39&gt;=$D$21,0,'SS Imported_Water'!$D$14)</f>
        <v>406.53409825</v>
      </c>
      <c r="J39" s="64">
        <f>'SS Desalin_Water'!$D$11</f>
        <v>315.45000000000005</v>
      </c>
      <c r="K39" s="64">
        <f t="shared" si="2"/>
        <v>987.58196358494729</v>
      </c>
      <c r="L39" s="64">
        <f t="shared" si="3"/>
        <v>1022.9630612386316</v>
      </c>
      <c r="M39" s="64">
        <f t="shared" si="4"/>
        <v>1071.3477694841577</v>
      </c>
      <c r="N39" s="64">
        <f>'SS NEWater'!$D$12</f>
        <v>247.39999999999998</v>
      </c>
    </row>
    <row r="40" spans="2:14">
      <c r="B40" s="6">
        <v>2032</v>
      </c>
      <c r="C40" s="3" cm="1">
        <f t="array" ref="C40">_xlfn.IFS($D$8="Low",'Pop FCST'!C40,$D$8="Medium",'Pop FCST'!D40,$D$8="High",'Pop FCST'!E40)</f>
        <v>6602022.2292986996</v>
      </c>
      <c r="D40" s="111">
        <f t="shared" si="0"/>
        <v>616.5795129155789</v>
      </c>
      <c r="E40" s="64">
        <f t="shared" si="1"/>
        <v>191.9767192077461</v>
      </c>
      <c r="F40" s="129">
        <f>'SS Water_CM'!$H63</f>
        <v>267.93793463305252</v>
      </c>
      <c r="G40" s="64">
        <f>'SS Water_CM'!$I63</f>
        <v>303.63076001936827</v>
      </c>
      <c r="H40" s="64">
        <f>'SS Water_CM'!$J63</f>
        <v>352.44176525384194</v>
      </c>
      <c r="I40" s="64">
        <f>IF(B40&gt;=$D$21,0,'SS Imported_Water'!$D$14)</f>
        <v>406.53409825</v>
      </c>
      <c r="J40" s="64">
        <f>'SS Desalin_Water'!$D$11</f>
        <v>315.45000000000005</v>
      </c>
      <c r="K40" s="64">
        <f t="shared" si="2"/>
        <v>989.92203288305257</v>
      </c>
      <c r="L40" s="64">
        <f t="shared" si="3"/>
        <v>1025.6148582693684</v>
      </c>
      <c r="M40" s="64">
        <f t="shared" si="4"/>
        <v>1074.425863503842</v>
      </c>
      <c r="N40" s="64">
        <f>'SS NEWater'!$D$12</f>
        <v>247.39999999999998</v>
      </c>
    </row>
    <row r="41" spans="2:14">
      <c r="B41" s="6">
        <v>2033</v>
      </c>
      <c r="C41" s="3" cm="1">
        <f t="array" ref="C41">_xlfn.IFS($D$8="Low",'Pop FCST'!C41,$D$8="Medium",'Pop FCST'!D41,$D$8="High",'Pop FCST'!E41)</f>
        <v>6682197.5982413702</v>
      </c>
      <c r="D41" s="111">
        <f t="shared" si="0"/>
        <v>622.45887204582539</v>
      </c>
      <c r="E41" s="64">
        <f t="shared" si="1"/>
        <v>201.85670588242306</v>
      </c>
      <c r="F41" s="129">
        <f>'SS Water_CM'!$H64</f>
        <v>270.27800393115774</v>
      </c>
      <c r="G41" s="64">
        <f>'SS Water_CM'!$I64</f>
        <v>306.28255705010503</v>
      </c>
      <c r="H41" s="64">
        <f>'SS Water_CM'!$J64</f>
        <v>355.51985927352609</v>
      </c>
      <c r="I41" s="64">
        <f>IF(B41&gt;=$D$21,0,'SS Imported_Water'!$D$14)</f>
        <v>406.53409825</v>
      </c>
      <c r="J41" s="64">
        <f>'SS Desalin_Water'!$D$11</f>
        <v>315.45000000000005</v>
      </c>
      <c r="K41" s="64">
        <f t="shared" si="2"/>
        <v>992.26210218115784</v>
      </c>
      <c r="L41" s="64">
        <f t="shared" si="3"/>
        <v>1028.266655300105</v>
      </c>
      <c r="M41" s="64">
        <f t="shared" si="4"/>
        <v>1077.5039575235262</v>
      </c>
      <c r="N41" s="64">
        <f>'SS NEWater'!$D$12</f>
        <v>247.39999999999998</v>
      </c>
    </row>
    <row r="42" spans="2:14">
      <c r="B42" s="6">
        <v>2034</v>
      </c>
      <c r="C42" s="3" cm="1">
        <f t="array" ref="C42">_xlfn.IFS($D$8="Low",'Pop FCST'!C42,$D$8="Medium",'Pop FCST'!D42,$D$8="High",'Pop FCST'!E42)</f>
        <v>6762982.2999880053</v>
      </c>
      <c r="D42" s="111">
        <f t="shared" si="0"/>
        <v>628.35624816420852</v>
      </c>
      <c r="E42" s="64">
        <f t="shared" si="1"/>
        <v>212.07669134218679</v>
      </c>
      <c r="F42" s="129">
        <f>'SS Water_CM'!$H65</f>
        <v>272.6180732292629</v>
      </c>
      <c r="G42" s="64">
        <f>'SS Water_CM'!$I65</f>
        <v>308.93435408084179</v>
      </c>
      <c r="H42" s="64">
        <f>'SS Water_CM'!$J65</f>
        <v>358.59795329321025</v>
      </c>
      <c r="I42" s="64">
        <f>IF(B42&gt;=$D$21,0,'SS Imported_Water'!$D$14)</f>
        <v>406.53409825</v>
      </c>
      <c r="J42" s="64">
        <f>'SS Desalin_Water'!$D$11</f>
        <v>315.45000000000005</v>
      </c>
      <c r="K42" s="64">
        <f t="shared" si="2"/>
        <v>994.60217147926301</v>
      </c>
      <c r="L42" s="64">
        <f t="shared" si="3"/>
        <v>1030.9184523308418</v>
      </c>
      <c r="M42" s="64">
        <f t="shared" si="4"/>
        <v>1080.5820515432104</v>
      </c>
      <c r="N42" s="64">
        <f>'SS NEWater'!$D$12</f>
        <v>247.39999999999998</v>
      </c>
    </row>
    <row r="43" spans="2:14">
      <c r="B43" s="6">
        <v>2035</v>
      </c>
      <c r="C43" s="3" cm="1">
        <f t="array" ref="C43">_xlfn.IFS($D$8="Low",'Pop FCST'!C43,$D$8="Medium",'Pop FCST'!D43,$D$8="High",'Pop FCST'!E43)</f>
        <v>6844380.9654679149</v>
      </c>
      <c r="D43" s="111">
        <f t="shared" si="0"/>
        <v>634.27163041730716</v>
      </c>
      <c r="E43" s="64">
        <f t="shared" si="1"/>
        <v>222.64873975686032</v>
      </c>
      <c r="F43" s="129">
        <f>'SS Water_CM'!$H66</f>
        <v>274.95814252736818</v>
      </c>
      <c r="G43" s="64">
        <f>'SS Water_CM'!$I66</f>
        <v>311.58615111157866</v>
      </c>
      <c r="H43" s="64">
        <f>'SS Water_CM'!$J66</f>
        <v>361.67604731289441</v>
      </c>
      <c r="I43" s="64">
        <f>IF(B43&gt;=$D$21,0,'SS Imported_Water'!$D$14)</f>
        <v>406.53409825</v>
      </c>
      <c r="J43" s="64">
        <f>'SS Desalin_Water'!$D$11</f>
        <v>315.45000000000005</v>
      </c>
      <c r="K43" s="64">
        <f t="shared" si="2"/>
        <v>996.94224077736817</v>
      </c>
      <c r="L43" s="64">
        <f t="shared" si="3"/>
        <v>1033.5702493615786</v>
      </c>
      <c r="M43" s="64">
        <f t="shared" si="4"/>
        <v>1083.6601455628945</v>
      </c>
      <c r="N43" s="64">
        <f>'SS NEWater'!$D$12</f>
        <v>247.39999999999998</v>
      </c>
    </row>
    <row r="44" spans="2:14">
      <c r="B44" s="6">
        <v>2036</v>
      </c>
      <c r="C44" s="3" cm="1">
        <f t="array" ref="C44">_xlfn.IFS($D$8="Low",'Pop FCST'!C44,$D$8="Medium",'Pop FCST'!D44,$D$8="High",'Pop FCST'!E44)</f>
        <v>6926398.2608054718</v>
      </c>
      <c r="D44" s="111">
        <f t="shared" si="0"/>
        <v>640.2050067460666</v>
      </c>
      <c r="E44" s="64">
        <f t="shared" si="1"/>
        <v>233.58546681963708</v>
      </c>
      <c r="F44" s="129">
        <f>'SS Water_CM'!$H67</f>
        <v>277.29821182547346</v>
      </c>
      <c r="G44" s="64">
        <f>'SS Water_CM'!$I67</f>
        <v>314.23794814231559</v>
      </c>
      <c r="H44" s="64">
        <f>'SS Water_CM'!$J67</f>
        <v>364.75414133257868</v>
      </c>
      <c r="I44" s="64">
        <f>IF(B44&gt;=$D$21,0,'SS Imported_Water'!$D$14)</f>
        <v>406.53409825</v>
      </c>
      <c r="J44" s="64">
        <f>'SS Desalin_Water'!$D$11</f>
        <v>315.45000000000005</v>
      </c>
      <c r="K44" s="64">
        <f t="shared" si="2"/>
        <v>999.28231007547356</v>
      </c>
      <c r="L44" s="64">
        <f t="shared" si="3"/>
        <v>1036.2220463923156</v>
      </c>
      <c r="M44" s="64">
        <f t="shared" si="4"/>
        <v>1086.7382395825787</v>
      </c>
      <c r="N44" s="64">
        <f>'SS NEWater'!$D$12</f>
        <v>247.39999999999998</v>
      </c>
    </row>
    <row r="45" spans="2:14">
      <c r="B45" s="6">
        <v>2037</v>
      </c>
      <c r="C45" s="3" cm="1">
        <f t="array" ref="C45">_xlfn.IFS($D$8="Low",'Pop FCST'!C45,$D$8="Medium",'Pop FCST'!D45,$D$8="High",'Pop FCST'!E45)</f>
        <v>7009038.8875875939</v>
      </c>
      <c r="D45" s="111">
        <f t="shared" si="0"/>
        <v>646.15636386810013</v>
      </c>
      <c r="E45" s="64">
        <f t="shared" si="1"/>
        <v>244.90007161221592</v>
      </c>
      <c r="F45" s="129">
        <f>'SS Water_CM'!$H68</f>
        <v>279.63828112357868</v>
      </c>
      <c r="G45" s="64">
        <f>'SS Water_CM'!$I68</f>
        <v>316.8897451730524</v>
      </c>
      <c r="H45" s="64">
        <f>'SS Water_CM'!$J68</f>
        <v>367.83223535226284</v>
      </c>
      <c r="I45" s="64">
        <f>IF(B45&gt;=$D$21,0,'SS Imported_Water'!$D$14)</f>
        <v>406.53409825</v>
      </c>
      <c r="J45" s="64">
        <f>'SS Desalin_Water'!$D$11</f>
        <v>315.45000000000005</v>
      </c>
      <c r="K45" s="64">
        <f t="shared" si="2"/>
        <v>1001.6223793735787</v>
      </c>
      <c r="L45" s="64">
        <f t="shared" si="3"/>
        <v>1038.8738434230524</v>
      </c>
      <c r="M45" s="64">
        <f t="shared" si="4"/>
        <v>1089.8163336022628</v>
      </c>
      <c r="N45" s="64">
        <f>'SS NEWater'!$D$12</f>
        <v>247.39999999999998</v>
      </c>
    </row>
    <row r="46" spans="2:14">
      <c r="B46" s="6">
        <v>2038</v>
      </c>
      <c r="C46" s="3" cm="1">
        <f t="array" ref="C46">_xlfn.IFS($D$8="Low",'Pop FCST'!C46,$D$8="Medium",'Pop FCST'!D46,$D$8="High",'Pop FCST'!E46)</f>
        <v>7092307.5831332598</v>
      </c>
      <c r="D46" s="111">
        <f t="shared" si="0"/>
        <v>652.12568725979156</v>
      </c>
      <c r="E46" s="64">
        <f t="shared" si="1"/>
        <v>256.60637070860889</v>
      </c>
      <c r="F46" s="129">
        <f>'SS Water_CM'!$H69</f>
        <v>281.9783504216839</v>
      </c>
      <c r="G46" s="64">
        <f>'SS Water_CM'!$I69</f>
        <v>319.54154220378928</v>
      </c>
      <c r="H46" s="64">
        <f>'SS Water_CM'!$J69</f>
        <v>370.910329371947</v>
      </c>
      <c r="I46" s="64">
        <f>IF(B46&gt;=$D$21,0,'SS Imported_Water'!$D$14)</f>
        <v>406.53409825</v>
      </c>
      <c r="J46" s="64">
        <f>'SS Desalin_Water'!$D$11</f>
        <v>315.45000000000005</v>
      </c>
      <c r="K46" s="64">
        <f t="shared" si="2"/>
        <v>1003.9624486716839</v>
      </c>
      <c r="L46" s="64">
        <f t="shared" si="3"/>
        <v>1041.5256404537893</v>
      </c>
      <c r="M46" s="64">
        <f t="shared" si="4"/>
        <v>1092.894427621947</v>
      </c>
      <c r="N46" s="64">
        <f>'SS NEWater'!$D$12</f>
        <v>247.39999999999998</v>
      </c>
    </row>
    <row r="47" spans="2:14">
      <c r="B47" s="6">
        <v>2039</v>
      </c>
      <c r="C47" s="3" cm="1">
        <f t="array" ref="C47">_xlfn.IFS($D$8="Low",'Pop FCST'!C47,$D$8="Medium",'Pop FCST'!D47,$D$8="High",'Pop FCST'!E47)</f>
        <v>7176209.1207650732</v>
      </c>
      <c r="D47" s="111">
        <f t="shared" si="0"/>
        <v>658.11296113819458</v>
      </c>
      <c r="E47" s="64">
        <f t="shared" si="1"/>
        <v>268.71883470337229</v>
      </c>
      <c r="F47" s="129">
        <f>'SS Water_CM'!$H70</f>
        <v>284.31841971978923</v>
      </c>
      <c r="G47" s="64">
        <f>'SS Water_CM'!$I70</f>
        <v>322.19333923452604</v>
      </c>
      <c r="H47" s="64">
        <f>'SS Water_CM'!$J70</f>
        <v>373.98842339163122</v>
      </c>
      <c r="I47" s="64">
        <f>IF(B47&gt;=$D$21,0,'SS Imported_Water'!$D$14)</f>
        <v>406.53409825</v>
      </c>
      <c r="J47" s="64">
        <f>'SS Desalin_Water'!$D$11</f>
        <v>315.45000000000005</v>
      </c>
      <c r="K47" s="64">
        <f t="shared" si="2"/>
        <v>1006.3025179697893</v>
      </c>
      <c r="L47" s="64">
        <f t="shared" si="3"/>
        <v>1044.1774374845261</v>
      </c>
      <c r="M47" s="64">
        <f t="shared" si="4"/>
        <v>1095.9725216416314</v>
      </c>
      <c r="N47" s="64">
        <f>'SS NEWater'!$D$12</f>
        <v>247.39999999999998</v>
      </c>
    </row>
    <row r="48" spans="2:14">
      <c r="B48" s="6">
        <v>2040</v>
      </c>
      <c r="C48" s="3" cm="1">
        <f t="array" ref="C48">_xlfn.IFS($D$8="Low",'Pop FCST'!C48,$D$8="Medium",'Pop FCST'!D48,$D$8="High",'Pop FCST'!E48)</f>
        <v>7260748.3100828882</v>
      </c>
      <c r="D48" s="111">
        <f t="shared" si="0"/>
        <v>656.14875042141739</v>
      </c>
      <c r="E48" s="64">
        <f t="shared" si="1"/>
        <v>277.87759583941045</v>
      </c>
      <c r="F48" s="129">
        <f>'SS Water_CM'!$H71</f>
        <v>286.6584890178944</v>
      </c>
      <c r="G48" s="64">
        <f>'SS Water_CM'!$I71</f>
        <v>324.84513626526274</v>
      </c>
      <c r="H48" s="64">
        <f>'SS Water_CM'!$J71</f>
        <v>377.06651741131537</v>
      </c>
      <c r="I48" s="64">
        <f>IF(B48&gt;=$D$21,0,'SS Imported_Water'!$D$14)</f>
        <v>0</v>
      </c>
      <c r="J48" s="64">
        <f>'SS Desalin_Water'!$D$11</f>
        <v>315.45000000000005</v>
      </c>
      <c r="K48" s="64">
        <f t="shared" si="2"/>
        <v>602.1084890178945</v>
      </c>
      <c r="L48" s="64">
        <f t="shared" si="3"/>
        <v>640.29513626526273</v>
      </c>
      <c r="M48" s="64">
        <f t="shared" si="4"/>
        <v>692.51651741131536</v>
      </c>
      <c r="N48" s="64">
        <f>'SS NEWater'!$D$12</f>
        <v>247.39999999999998</v>
      </c>
    </row>
    <row r="49" spans="2:14">
      <c r="B49" s="6">
        <v>2041</v>
      </c>
      <c r="C49" s="3" cm="1">
        <f t="array" ref="C49">_xlfn.IFS($D$8="Low",'Pop FCST'!C49,$D$8="Medium",'Pop FCST'!D49,$D$8="High",'Pop FCST'!E49)</f>
        <v>7345929.9972395189</v>
      </c>
      <c r="D49" s="111">
        <f t="shared" si="0"/>
        <v>662.09959532687901</v>
      </c>
      <c r="E49" s="64">
        <f t="shared" si="1"/>
        <v>290.6929638857099</v>
      </c>
      <c r="F49" s="129">
        <f>'SS Water_CM'!$H72</f>
        <v>288.99855831599973</v>
      </c>
      <c r="G49" s="64">
        <f>'SS Water_CM'!$I72</f>
        <v>327.49693329599961</v>
      </c>
      <c r="H49" s="64">
        <f>'SS Water_CM'!$J72</f>
        <v>380.14461143099965</v>
      </c>
      <c r="I49" s="64">
        <f>IF(B49&gt;=$D$21,0,'SS Imported_Water'!$D$14)</f>
        <v>0</v>
      </c>
      <c r="J49" s="64">
        <f>'SS Desalin_Water'!$D$11</f>
        <v>315.45000000000005</v>
      </c>
      <c r="K49" s="64">
        <f t="shared" si="2"/>
        <v>604.44855831599978</v>
      </c>
      <c r="L49" s="64">
        <f t="shared" si="3"/>
        <v>642.94693329599966</v>
      </c>
      <c r="M49" s="64">
        <f t="shared" si="4"/>
        <v>695.59461143099975</v>
      </c>
      <c r="N49" s="64">
        <f>'SS NEWater'!$D$12</f>
        <v>247.39999999999998</v>
      </c>
    </row>
    <row r="50" spans="2:14">
      <c r="B50" s="6">
        <v>2042</v>
      </c>
      <c r="C50" s="3" cm="1">
        <f t="array" ref="C50">_xlfn.IFS($D$8="Low",'Pop FCST'!C50,$D$8="Medium",'Pop FCST'!D50,$D$8="High",'Pop FCST'!E50)</f>
        <v>7431759.0652185399</v>
      </c>
      <c r="D50" s="111">
        <f t="shared" si="0"/>
        <v>668.06812088540335</v>
      </c>
      <c r="E50" s="64">
        <f t="shared" si="1"/>
        <v>303.95679191905072</v>
      </c>
      <c r="F50" s="129">
        <f>'SS Water_CM'!$H73</f>
        <v>291.33862761410501</v>
      </c>
      <c r="G50" s="64">
        <f>'SS Water_CM'!$I73</f>
        <v>330.14873032673654</v>
      </c>
      <c r="H50" s="64">
        <f>'SS Water_CM'!$J73</f>
        <v>383.2227054506838</v>
      </c>
      <c r="I50" s="64">
        <f>IF(B50&gt;=$D$21,0,'SS Imported_Water'!$D$14)</f>
        <v>0</v>
      </c>
      <c r="J50" s="64">
        <f>'SS Desalin_Water'!$D$11</f>
        <v>315.45000000000005</v>
      </c>
      <c r="K50" s="64">
        <f t="shared" si="2"/>
        <v>606.78862761410505</v>
      </c>
      <c r="L50" s="64">
        <f t="shared" si="3"/>
        <v>645.59873032673659</v>
      </c>
      <c r="M50" s="64">
        <f t="shared" si="4"/>
        <v>698.67270545068391</v>
      </c>
      <c r="N50" s="64">
        <f>'SS NEWater'!$D$12</f>
        <v>247.39999999999998</v>
      </c>
    </row>
    <row r="51" spans="2:14">
      <c r="B51" s="6">
        <v>2043</v>
      </c>
      <c r="C51" s="3" cm="1">
        <f t="array" ref="C51">_xlfn.IFS($D$8="Low",'Pop FCST'!C51,$D$8="Medium",'Pop FCST'!D51,$D$8="High",'Pop FCST'!E51)</f>
        <v>7518240.434114201</v>
      </c>
      <c r="D51" s="111">
        <f t="shared" si="0"/>
        <v>674.05430634369577</v>
      </c>
      <c r="E51" s="64">
        <f t="shared" si="1"/>
        <v>317.68637784662019</v>
      </c>
      <c r="F51" s="129">
        <f>'SS Water_CM'!$H74</f>
        <v>293.67869691221017</v>
      </c>
      <c r="G51" s="64">
        <f>'SS Water_CM'!$I74</f>
        <v>332.8005273574733</v>
      </c>
      <c r="H51" s="64">
        <f>'SS Water_CM'!$J74</f>
        <v>386.30079947036796</v>
      </c>
      <c r="I51" s="64">
        <f>IF(B51&gt;=$D$21,0,'SS Imported_Water'!$D$14)</f>
        <v>0</v>
      </c>
      <c r="J51" s="64">
        <f>'SS Desalin_Water'!$D$11</f>
        <v>315.45000000000005</v>
      </c>
      <c r="K51" s="64">
        <f t="shared" si="2"/>
        <v>609.12869691221022</v>
      </c>
      <c r="L51" s="64">
        <f t="shared" si="3"/>
        <v>648.2505273574734</v>
      </c>
      <c r="M51" s="64">
        <f t="shared" si="4"/>
        <v>701.75079947036807</v>
      </c>
      <c r="N51" s="64">
        <f>'SS NEWater'!$D$12</f>
        <v>247.39999999999998</v>
      </c>
    </row>
    <row r="52" spans="2:14">
      <c r="B52" s="6">
        <v>2044</v>
      </c>
      <c r="C52" s="3" cm="1">
        <f t="array" ref="C52">_xlfn.IFS($D$8="Low",'Pop FCST'!C52,$D$8="Medium",'Pop FCST'!D52,$D$8="High",'Pop FCST'!E52)</f>
        <v>7605379.0614134697</v>
      </c>
      <c r="D52" s="111">
        <f t="shared" si="0"/>
        <v>680.05812961177742</v>
      </c>
      <c r="E52" s="64">
        <f t="shared" si="1"/>
        <v>331.89988989781341</v>
      </c>
      <c r="F52" s="129">
        <f>'SS Water_CM'!$H75</f>
        <v>296.01876621031539</v>
      </c>
      <c r="G52" s="64">
        <f>'SS Water_CM'!$I75</f>
        <v>335.45232438821017</v>
      </c>
      <c r="H52" s="64">
        <f>'SS Water_CM'!$J75</f>
        <v>389.37889349005212</v>
      </c>
      <c r="I52" s="64">
        <f>IF(B52&gt;=$D$21,0,'SS Imported_Water'!$D$14)</f>
        <v>0</v>
      </c>
      <c r="J52" s="64">
        <f>'SS Desalin_Water'!$D$11</f>
        <v>315.45000000000005</v>
      </c>
      <c r="K52" s="64">
        <f t="shared" si="2"/>
        <v>611.46876621031538</v>
      </c>
      <c r="L52" s="64">
        <f t="shared" si="3"/>
        <v>650.90232438821022</v>
      </c>
      <c r="M52" s="64">
        <f t="shared" si="4"/>
        <v>704.82889349005222</v>
      </c>
      <c r="N52" s="64">
        <f>'SS NEWater'!$D$12</f>
        <v>247.39999999999998</v>
      </c>
    </row>
    <row r="53" spans="2:14">
      <c r="B53" s="6">
        <v>2045</v>
      </c>
      <c r="C53" s="3" cm="1">
        <f t="array" ref="C53">_xlfn.IFS($D$8="Low",'Pop FCST'!C53,$D$8="Medium",'Pop FCST'!D53,$D$8="High",'Pop FCST'!E53)</f>
        <v>7693179.9422802124</v>
      </c>
      <c r="D53" s="111">
        <f t="shared" si="0"/>
        <v>686.07956724386531</v>
      </c>
      <c r="E53" s="64">
        <f t="shared" si="1"/>
        <v>346.61642207509772</v>
      </c>
      <c r="F53" s="129">
        <f>'SS Water_CM'!$H76</f>
        <v>298.35883550842073</v>
      </c>
      <c r="G53" s="64">
        <f>'SS Water_CM'!$I76</f>
        <v>338.10412141894693</v>
      </c>
      <c r="H53" s="64">
        <f>'SS Water_CM'!$J76</f>
        <v>392.45698750973634</v>
      </c>
      <c r="I53" s="64">
        <f>IF(B53&gt;=$D$21,0,'SS Imported_Water'!$D$14)</f>
        <v>0</v>
      </c>
      <c r="J53" s="64">
        <f>'SS Desalin_Water'!$D$11</f>
        <v>315.45000000000005</v>
      </c>
      <c r="K53" s="64">
        <f t="shared" si="2"/>
        <v>613.80883550842077</v>
      </c>
      <c r="L53" s="64">
        <f t="shared" si="3"/>
        <v>653.55412141894703</v>
      </c>
      <c r="M53" s="64">
        <f t="shared" si="4"/>
        <v>707.90698750973638</v>
      </c>
      <c r="N53" s="64">
        <f>'SS NEWater'!$D$12</f>
        <v>247.39999999999998</v>
      </c>
    </row>
    <row r="54" spans="2:14">
      <c r="B54" s="6">
        <v>2046</v>
      </c>
      <c r="C54" s="3" cm="1">
        <f t="array" ref="C54">_xlfn.IFS($D$8="Low",'Pop FCST'!C54,$D$8="Medium",'Pop FCST'!D54,$D$8="High",'Pop FCST'!E54)</f>
        <v>7781648.1098415423</v>
      </c>
      <c r="D54" s="111">
        <f t="shared" si="0"/>
        <v>692.11859441904164</v>
      </c>
      <c r="E54" s="64">
        <f t="shared" si="1"/>
        <v>361.85605390423802</v>
      </c>
      <c r="F54" s="129">
        <f>'SS Water_CM'!$H77</f>
        <v>300.698904806526</v>
      </c>
      <c r="G54" s="64">
        <f>'SS Water_CM'!$I77</f>
        <v>340.7559184496838</v>
      </c>
      <c r="H54" s="64">
        <f>'SS Water_CM'!$J77</f>
        <v>395.53508152942055</v>
      </c>
      <c r="I54" s="64">
        <f>IF(B54&gt;=$D$21,0,'SS Imported_Water'!$D$14)</f>
        <v>0</v>
      </c>
      <c r="J54" s="64">
        <f>'SS Desalin_Water'!$D$11</f>
        <v>315.45000000000005</v>
      </c>
      <c r="K54" s="64">
        <f t="shared" si="2"/>
        <v>616.14890480652605</v>
      </c>
      <c r="L54" s="64">
        <f t="shared" si="3"/>
        <v>656.20591844968385</v>
      </c>
      <c r="M54" s="64">
        <f t="shared" si="4"/>
        <v>710.98508152942054</v>
      </c>
      <c r="N54" s="64">
        <f>'SS NEWater'!$D$12</f>
        <v>247.39999999999998</v>
      </c>
    </row>
    <row r="55" spans="2:14">
      <c r="B55" s="6">
        <v>2047</v>
      </c>
      <c r="C55" s="3" cm="1">
        <f t="array" ref="C55">_xlfn.IFS($D$8="Low",'Pop FCST'!C55,$D$8="Medium",'Pop FCST'!D55,$D$8="High",'Pop FCST'!E55)</f>
        <v>7870788.6354763387</v>
      </c>
      <c r="D55" s="111">
        <f t="shared" si="0"/>
        <v>698.17518492170393</v>
      </c>
      <c r="E55" s="64">
        <f t="shared" si="1"/>
        <v>377.63991487799501</v>
      </c>
      <c r="F55" s="129">
        <f>'SS Water_CM'!$H78</f>
        <v>303.03897410463117</v>
      </c>
      <c r="G55" s="64">
        <f>'SS Water_CM'!$I78</f>
        <v>343.40771548042056</v>
      </c>
      <c r="H55" s="64">
        <f>'SS Water_CM'!$J78</f>
        <v>398.61317554910477</v>
      </c>
      <c r="I55" s="64">
        <f>IF(B55&gt;=$D$21,0,'SS Imported_Water'!$D$14)</f>
        <v>0</v>
      </c>
      <c r="J55" s="64">
        <f>'SS Desalin_Water'!$D$11</f>
        <v>315.45000000000005</v>
      </c>
      <c r="K55" s="64">
        <f t="shared" si="2"/>
        <v>618.48897410463121</v>
      </c>
      <c r="L55" s="64">
        <f t="shared" si="3"/>
        <v>658.85771548042067</v>
      </c>
      <c r="M55" s="64">
        <f t="shared" si="4"/>
        <v>714.06317554910481</v>
      </c>
      <c r="N55" s="64">
        <f>'SS NEWater'!$D$12</f>
        <v>247.39999999999998</v>
      </c>
    </row>
    <row r="56" spans="2:14">
      <c r="B56" s="6">
        <v>2048</v>
      </c>
      <c r="C56" s="3" cm="1">
        <f t="array" ref="C56">_xlfn.IFS($D$8="Low",'Pop FCST'!C56,$D$8="Medium",'Pop FCST'!D56,$D$8="High",'Pop FCST'!E56)</f>
        <v>7960606.6291059591</v>
      </c>
      <c r="D56" s="111">
        <f t="shared" si="0"/>
        <v>704.24931112180093</v>
      </c>
      <c r="E56" s="64">
        <f t="shared" si="1"/>
        <v>393.99025402923644</v>
      </c>
      <c r="F56" s="129">
        <f>'SS Water_CM'!$H79</f>
        <v>305.37904340273644</v>
      </c>
      <c r="G56" s="64">
        <f>'SS Water_CM'!$I79</f>
        <v>346.05951251115738</v>
      </c>
      <c r="H56" s="64">
        <f>'SS Water_CM'!$J79</f>
        <v>401.69126956878893</v>
      </c>
      <c r="I56" s="64">
        <f>IF(B56&gt;=$D$21,0,'SS Imported_Water'!$D$14)</f>
        <v>0</v>
      </c>
      <c r="J56" s="64">
        <f>'SS Desalin_Water'!$D$11</f>
        <v>315.45000000000005</v>
      </c>
      <c r="K56" s="64">
        <f t="shared" si="2"/>
        <v>620.82904340273649</v>
      </c>
      <c r="L56" s="64">
        <f t="shared" si="3"/>
        <v>661.50951251115748</v>
      </c>
      <c r="M56" s="64">
        <f t="shared" si="4"/>
        <v>717.14126956878897</v>
      </c>
      <c r="N56" s="64">
        <f>'SS NEWater'!$D$12</f>
        <v>247.39999999999998</v>
      </c>
    </row>
    <row r="57" spans="2:14">
      <c r="B57" s="6">
        <v>2049</v>
      </c>
      <c r="C57" s="3" cm="1">
        <f t="array" ref="C57">_xlfn.IFS($D$8="Low",'Pop FCST'!C57,$D$8="Medium",'Pop FCST'!D57,$D$8="High",'Pop FCST'!E57)</f>
        <v>8051107.2394871647</v>
      </c>
      <c r="D57" s="111">
        <f t="shared" si="0"/>
        <v>710.34094395484738</v>
      </c>
      <c r="E57" s="64">
        <f t="shared" si="1"/>
        <v>410.93051511631757</v>
      </c>
      <c r="F57" s="129">
        <f>'SS Water_CM'!$H80</f>
        <v>307.71911270084166</v>
      </c>
      <c r="G57" s="64">
        <f>'SS Water_CM'!$I80</f>
        <v>348.71130954189414</v>
      </c>
      <c r="H57" s="64">
        <f>'SS Water_CM'!$J80</f>
        <v>404.76936358847308</v>
      </c>
      <c r="I57" s="64">
        <f>IF(B57&gt;=$D$21,0,'SS Imported_Water'!$D$14)</f>
        <v>0</v>
      </c>
      <c r="J57" s="64">
        <f>'SS Desalin_Water'!$D$11</f>
        <v>315.45000000000005</v>
      </c>
      <c r="K57" s="64">
        <f t="shared" si="2"/>
        <v>623.16911270084165</v>
      </c>
      <c r="L57" s="64">
        <f t="shared" si="3"/>
        <v>664.16130954189418</v>
      </c>
      <c r="M57" s="64">
        <f t="shared" si="4"/>
        <v>720.21936358847313</v>
      </c>
      <c r="N57" s="64">
        <f>'SS NEWater'!$D$12</f>
        <v>247.39999999999998</v>
      </c>
    </row>
    <row r="58" spans="2:14">
      <c r="B58" s="6">
        <v>2050</v>
      </c>
      <c r="C58" s="3" cm="1">
        <f t="array" ref="C58">_xlfn.IFS($D$8="Low",'Pop FCST'!C58,$D$8="Medium",'Pop FCST'!D58,$D$8="High",'Pop FCST'!E58)</f>
        <v>8142295.6545072673</v>
      </c>
      <c r="D58" s="111">
        <f t="shared" si="0"/>
        <v>716.45005290171503</v>
      </c>
      <c r="E58" s="64">
        <f t="shared" si="1"/>
        <v>428.48541795622418</v>
      </c>
      <c r="F58" s="129">
        <f>'SS Water_CM'!$H81</f>
        <v>310.05918199894688</v>
      </c>
      <c r="G58" s="64">
        <f>'SS Water_CM'!$I81</f>
        <v>351.36310657263101</v>
      </c>
      <c r="H58" s="64">
        <f>'SS Water_CM'!$J81</f>
        <v>407.84745760815724</v>
      </c>
      <c r="I58" s="64">
        <f>IF(B58&gt;=$D$21,0,'SS Imported_Water'!$D$14)</f>
        <v>0</v>
      </c>
      <c r="J58" s="64">
        <f>'SS Desalin_Water'!$D$11</f>
        <v>315.45000000000005</v>
      </c>
      <c r="K58" s="64">
        <f t="shared" si="2"/>
        <v>625.50918199894693</v>
      </c>
      <c r="L58" s="64">
        <f t="shared" si="3"/>
        <v>666.81310657263111</v>
      </c>
      <c r="M58" s="64">
        <f t="shared" si="4"/>
        <v>723.29745760815729</v>
      </c>
      <c r="N58" s="64">
        <f>'SS NEWater'!$D$12</f>
        <v>247.39999999999998</v>
      </c>
    </row>
    <row r="59" spans="2:14">
      <c r="B59" s="6">
        <v>2051</v>
      </c>
      <c r="C59" s="3" cm="1">
        <f t="array" ref="C59">_xlfn.IFS($D$8="Low",'Pop FCST'!C59,$D$8="Medium",'Pop FCST'!D59,$D$8="High",'Pop FCST'!E59)</f>
        <v>8234177.1014815234</v>
      </c>
      <c r="D59" s="111">
        <f t="shared" si="0"/>
        <v>722.57660596820244</v>
      </c>
      <c r="E59" s="64">
        <f t="shared" si="1"/>
        <v>446.68104650019473</v>
      </c>
      <c r="F59" s="129">
        <f>'SS Water_CM'!$H82</f>
        <v>312.3992512970521</v>
      </c>
      <c r="G59" s="64">
        <f>'SS Water_CM'!$I82</f>
        <v>354.01490360336788</v>
      </c>
      <c r="H59" s="64">
        <f>'SS Water_CM'!$J82</f>
        <v>410.92555162784151</v>
      </c>
      <c r="I59" s="64">
        <f>IF(B59&gt;=$D$21,0,'SS Imported_Water'!$D$14)</f>
        <v>0</v>
      </c>
      <c r="J59" s="64">
        <f>'SS Desalin_Water'!$D$11</f>
        <v>315.45000000000005</v>
      </c>
      <c r="K59" s="64">
        <f t="shared" si="2"/>
        <v>627.84925129705221</v>
      </c>
      <c r="L59" s="64">
        <f t="shared" si="3"/>
        <v>669.46490360336793</v>
      </c>
      <c r="M59" s="64">
        <f t="shared" si="4"/>
        <v>726.37555162784156</v>
      </c>
      <c r="N59" s="64">
        <f>'SS NEWater'!$D$12</f>
        <v>247.39999999999998</v>
      </c>
    </row>
    <row r="60" spans="2:14">
      <c r="B60" s="6">
        <v>2052</v>
      </c>
      <c r="C60" s="3" cm="1">
        <f t="array" ref="C60">_xlfn.IFS($D$8="Low",'Pop FCST'!C60,$D$8="Medium",'Pop FCST'!D60,$D$8="High",'Pop FCST'!E60)</f>
        <v>8326756.847452783</v>
      </c>
      <c r="D60" s="111">
        <f t="shared" si="0"/>
        <v>728.72056966437549</v>
      </c>
      <c r="E60" s="64">
        <f t="shared" si="1"/>
        <v>465.54494431319085</v>
      </c>
      <c r="F60" s="129">
        <f>'SS Water_CM'!$H83</f>
        <v>314.73932059515738</v>
      </c>
      <c r="G60" s="64">
        <f>'SS Water_CM'!$I83</f>
        <v>356.6667006341047</v>
      </c>
      <c r="H60" s="64">
        <f>'SS Water_CM'!$J83</f>
        <v>414.00364564752567</v>
      </c>
      <c r="I60" s="64">
        <f>IF(B60&gt;=$D$21,0,'SS Imported_Water'!$D$14)</f>
        <v>0</v>
      </c>
      <c r="J60" s="64">
        <f>'SS Desalin_Water'!$D$11</f>
        <v>315.45000000000005</v>
      </c>
      <c r="K60" s="64">
        <f t="shared" si="2"/>
        <v>630.18932059515737</v>
      </c>
      <c r="L60" s="64">
        <f t="shared" si="3"/>
        <v>672.11670063410475</v>
      </c>
      <c r="M60" s="64">
        <f t="shared" si="4"/>
        <v>729.45364564752572</v>
      </c>
      <c r="N60" s="64">
        <f>'SS NEWater'!$D$12</f>
        <v>247.39999999999998</v>
      </c>
    </row>
    <row r="61" spans="2:14">
      <c r="B61" s="6">
        <v>2053</v>
      </c>
      <c r="C61" s="3" cm="1">
        <f t="array" ref="C61">_xlfn.IFS($D$8="Low",'Pop FCST'!C61,$D$8="Medium",'Pop FCST'!D61,$D$8="High",'Pop FCST'!E61)</f>
        <v>8420040.199493425</v>
      </c>
      <c r="D61" s="111">
        <f t="shared" si="0"/>
        <v>734.88190898368146</v>
      </c>
      <c r="E61" s="64">
        <f t="shared" si="1"/>
        <v>485.10621819379844</v>
      </c>
      <c r="F61" s="129">
        <f>'SS Water_CM'!$H84</f>
        <v>317.07938989326266</v>
      </c>
      <c r="G61" s="64">
        <f>'SS Water_CM'!$I84</f>
        <v>359.31849766484157</v>
      </c>
      <c r="H61" s="64">
        <f>'SS Water_CM'!$J84</f>
        <v>417.08173966720983</v>
      </c>
      <c r="I61" s="64">
        <f>IF(B61&gt;=$D$21,0,'SS Imported_Water'!$D$14)</f>
        <v>0</v>
      </c>
      <c r="J61" s="64">
        <f>'SS Desalin_Water'!$D$11</f>
        <v>315.45000000000005</v>
      </c>
      <c r="K61" s="64">
        <f t="shared" si="2"/>
        <v>632.52938989326276</v>
      </c>
      <c r="L61" s="64">
        <f t="shared" si="3"/>
        <v>674.76849766484156</v>
      </c>
      <c r="M61" s="64">
        <f t="shared" si="4"/>
        <v>732.53173966720988</v>
      </c>
      <c r="N61" s="64">
        <f>'SS NEWater'!$D$12</f>
        <v>247.39999999999998</v>
      </c>
    </row>
    <row r="62" spans="2:14">
      <c r="B62" s="6">
        <v>2054</v>
      </c>
      <c r="C62" s="3" cm="1">
        <f t="array" ref="C62">_xlfn.IFS($D$8="Low",'Pop FCST'!C62,$D$8="Medium",'Pop FCST'!D62,$D$8="High",'Pop FCST'!E62)</f>
        <v>8514032.5050095748</v>
      </c>
      <c r="D62" s="111">
        <f t="shared" si="0"/>
        <v>741.0605873818289</v>
      </c>
      <c r="E62" s="64">
        <f t="shared" si="1"/>
        <v>505.39565075609312</v>
      </c>
      <c r="F62" s="129">
        <f>'SS Water_CM'!$H85</f>
        <v>319.41945919136788</v>
      </c>
      <c r="G62" s="64">
        <f>'SS Water_CM'!$I85</f>
        <v>361.97029469557833</v>
      </c>
      <c r="H62" s="64">
        <f>'SS Water_CM'!$J85</f>
        <v>420.1598336868941</v>
      </c>
      <c r="I62" s="64">
        <f>IF(B62&gt;=$D$21,0,'SS Imported_Water'!$D$14)</f>
        <v>0</v>
      </c>
      <c r="J62" s="64">
        <f>'SS Desalin_Water'!$D$11</f>
        <v>315.45000000000005</v>
      </c>
      <c r="K62" s="64">
        <f t="shared" si="2"/>
        <v>634.86945919136792</v>
      </c>
      <c r="L62" s="64">
        <f t="shared" si="3"/>
        <v>677.42029469557838</v>
      </c>
      <c r="M62" s="64">
        <f t="shared" si="4"/>
        <v>735.60983368689415</v>
      </c>
      <c r="N62" s="64">
        <f>'SS NEWater'!$D$12</f>
        <v>247.39999999999998</v>
      </c>
    </row>
    <row r="63" spans="2:14">
      <c r="B63" s="6">
        <v>2055</v>
      </c>
      <c r="C63" s="3" cm="1">
        <f t="array" ref="C63">_xlfn.IFS($D$8="Low",'Pop FCST'!C63,$D$8="Medium",'Pop FCST'!D63,$D$8="High",'Pop FCST'!E63)</f>
        <v>8608739.1520476472</v>
      </c>
      <c r="D63" s="111">
        <f t="shared" si="0"/>
        <v>747.2565667554378</v>
      </c>
      <c r="E63" s="64">
        <f t="shared" si="1"/>
        <v>526.44582289114078</v>
      </c>
      <c r="F63" s="129">
        <f>'SS Water_CM'!$H86</f>
        <v>321.7595284894731</v>
      </c>
      <c r="G63" s="64">
        <f>'SS Water_CM'!$I86</f>
        <v>364.62209172631515</v>
      </c>
      <c r="H63" s="64">
        <f>'SS Water_CM'!$J86</f>
        <v>423.2379277065782</v>
      </c>
      <c r="I63" s="64">
        <f>IF(B63&gt;=$D$21,0,'SS Imported_Water'!$D$14)</f>
        <v>0</v>
      </c>
      <c r="J63" s="64">
        <f>'SS Desalin_Water'!$D$11</f>
        <v>315.45000000000005</v>
      </c>
      <c r="K63" s="64">
        <f t="shared" si="2"/>
        <v>637.20952848947309</v>
      </c>
      <c r="L63" s="64">
        <f t="shared" si="3"/>
        <v>680.07209172631519</v>
      </c>
      <c r="M63" s="64">
        <f t="shared" si="4"/>
        <v>738.68792770657819</v>
      </c>
      <c r="N63" s="64">
        <f>'SS NEWater'!$D$12</f>
        <v>247.39999999999998</v>
      </c>
    </row>
    <row r="64" spans="2:14">
      <c r="B64" s="6">
        <v>2056</v>
      </c>
      <c r="C64" s="3" cm="1">
        <f t="array" ref="C64">_xlfn.IFS($D$8="Low",'Pop FCST'!C64,$D$8="Medium",'Pop FCST'!D64,$D$8="High",'Pop FCST'!E64)</f>
        <v>8704165.5696032103</v>
      </c>
      <c r="D64" s="111">
        <f t="shared" si="0"/>
        <v>753.46980742045241</v>
      </c>
      <c r="E64" s="64">
        <f t="shared" si="1"/>
        <v>548.29124713480235</v>
      </c>
      <c r="F64" s="129">
        <f>'SS Water_CM'!$H87</f>
        <v>324.09959778757832</v>
      </c>
      <c r="G64" s="64">
        <f>'SS Water_CM'!$I87</f>
        <v>367.27388875705191</v>
      </c>
      <c r="H64" s="64">
        <f>'SS Water_CM'!$J87</f>
        <v>426.31602172626236</v>
      </c>
      <c r="I64" s="64">
        <f>IF(B64&gt;=$D$21,0,'SS Imported_Water'!$D$14)</f>
        <v>0</v>
      </c>
      <c r="J64" s="64">
        <f>'SS Desalin_Water'!$D$11</f>
        <v>315.45000000000005</v>
      </c>
      <c r="K64" s="64">
        <f t="shared" si="2"/>
        <v>639.54959778757836</v>
      </c>
      <c r="L64" s="64">
        <f t="shared" si="3"/>
        <v>682.72388875705201</v>
      </c>
      <c r="M64" s="64">
        <f t="shared" si="4"/>
        <v>741.76602172626235</v>
      </c>
      <c r="N64" s="64">
        <f>'SS NEWater'!$D$12</f>
        <v>247.39999999999998</v>
      </c>
    </row>
    <row r="65" spans="2:14">
      <c r="B65" s="6">
        <v>2057</v>
      </c>
      <c r="C65" s="3" cm="1">
        <f t="array" ref="C65">_xlfn.IFS($D$8="Low",'Pop FCST'!C65,$D$8="Medium",'Pop FCST'!D65,$D$8="High",'Pop FCST'!E65)</f>
        <v>8800317.2279321942</v>
      </c>
      <c r="D65" s="111">
        <f t="shared" si="0"/>
        <v>759.70026809031333</v>
      </c>
      <c r="E65" s="64">
        <f t="shared" si="1"/>
        <v>570.96851309227486</v>
      </c>
      <c r="F65" s="129">
        <f>'SS Water_CM'!$H88</f>
        <v>326.4396670856836</v>
      </c>
      <c r="G65" s="64">
        <f>'SS Water_CM'!$I88</f>
        <v>369.92568578778884</v>
      </c>
      <c r="H65" s="64">
        <f>'SS Water_CM'!$J88</f>
        <v>429.39411574594664</v>
      </c>
      <c r="I65" s="64">
        <f>IF(B65&gt;=$D$21,0,'SS Imported_Water'!$D$14)</f>
        <v>0</v>
      </c>
      <c r="J65" s="64">
        <f>'SS Desalin_Water'!$D$11</f>
        <v>315.45000000000005</v>
      </c>
      <c r="K65" s="64">
        <f t="shared" si="2"/>
        <v>641.88966708568364</v>
      </c>
      <c r="L65" s="64">
        <f t="shared" si="3"/>
        <v>685.37568578778883</v>
      </c>
      <c r="M65" s="64">
        <f t="shared" si="4"/>
        <v>744.84411574594674</v>
      </c>
      <c r="N65" s="64">
        <f>'SS NEWater'!$D$12</f>
        <v>247.39999999999998</v>
      </c>
    </row>
    <row r="66" spans="2:14">
      <c r="B66" s="6">
        <v>2058</v>
      </c>
      <c r="C66" s="3" cm="1">
        <f t="array" ref="C66">_xlfn.IFS($D$8="Low",'Pop FCST'!C66,$D$8="Medium",'Pop FCST'!D66,$D$8="High",'Pop FCST'!E66)</f>
        <v>8897199.63886448</v>
      </c>
      <c r="D66" s="111">
        <f t="shared" si="0"/>
        <v>765.94790585389455</v>
      </c>
      <c r="E66" s="64">
        <f t="shared" si="1"/>
        <v>594.51644621060427</v>
      </c>
      <c r="F66" s="129">
        <f>'SS Water_CM'!$H89</f>
        <v>328.77973638378887</v>
      </c>
      <c r="G66" s="64">
        <f>'SS Water_CM'!$I89</f>
        <v>372.5774828185256</v>
      </c>
      <c r="H66" s="64">
        <f>'SS Water_CM'!$J89</f>
        <v>432.47220976563068</v>
      </c>
      <c r="I66" s="64">
        <f>IF(B66&gt;=$D$21,0,'SS Imported_Water'!$D$14)</f>
        <v>0</v>
      </c>
      <c r="J66" s="64">
        <f>'SS Desalin_Water'!$D$11</f>
        <v>315.45000000000005</v>
      </c>
      <c r="K66" s="64">
        <f t="shared" si="2"/>
        <v>644.22973638378892</v>
      </c>
      <c r="L66" s="64">
        <f t="shared" si="3"/>
        <v>688.02748281852564</v>
      </c>
      <c r="M66" s="64">
        <f t="shared" si="4"/>
        <v>747.92220976563067</v>
      </c>
      <c r="N66" s="64">
        <f>'SS NEWater'!$D$12</f>
        <v>247.39999999999998</v>
      </c>
    </row>
    <row r="67" spans="2:14">
      <c r="B67" s="6">
        <v>2059</v>
      </c>
      <c r="C67" s="3" cm="1">
        <f t="array" ref="C67">_xlfn.IFS($D$8="Low",'Pop FCST'!C67,$D$8="Medium",'Pop FCST'!D67,$D$8="High",'Pop FCST'!E67)</f>
        <v>8994818.3561198507</v>
      </c>
      <c r="D67" s="111">
        <f t="shared" si="0"/>
        <v>772.21267615319277</v>
      </c>
      <c r="E67" s="64">
        <f t="shared" si="1"/>
        <v>618.97628135092759</v>
      </c>
      <c r="F67" s="129">
        <f>'SS Water_CM'!$H90</f>
        <v>331.11980568189409</v>
      </c>
      <c r="G67" s="64">
        <f>'SS Water_CM'!$I90</f>
        <v>375.22927984926247</v>
      </c>
      <c r="H67" s="64">
        <f>'SS Water_CM'!$J90</f>
        <v>435.55030378531495</v>
      </c>
      <c r="I67" s="64">
        <f>IF(B67&gt;=$D$21,0,'SS Imported_Water'!$D$14)</f>
        <v>0</v>
      </c>
      <c r="J67" s="64">
        <f>'SS Desalin_Water'!$D$11</f>
        <v>315.45000000000005</v>
      </c>
      <c r="K67" s="64">
        <f t="shared" si="2"/>
        <v>646.5698056818942</v>
      </c>
      <c r="L67" s="64">
        <f t="shared" si="3"/>
        <v>690.67927984926246</v>
      </c>
      <c r="M67" s="64">
        <f t="shared" si="4"/>
        <v>751.00030378531505</v>
      </c>
      <c r="N67" s="64">
        <f>'SS NEWater'!$D$12</f>
        <v>247.39999999999998</v>
      </c>
    </row>
    <row r="68" spans="2:14">
      <c r="B68" s="6">
        <v>2060</v>
      </c>
      <c r="C68" s="3" cm="1">
        <f t="array" ref="C68">_xlfn.IFS($D$8="Low",'Pop FCST'!C68,$D$8="Medium",'Pop FCST'!D68,$D$8="High",'Pop FCST'!E68)</f>
        <v>9093178.9756263625</v>
      </c>
      <c r="D68" s="111">
        <f t="shared" si="0"/>
        <v>778.49453276077566</v>
      </c>
      <c r="E68" s="64">
        <f t="shared" si="1"/>
        <v>644.39185279548656</v>
      </c>
      <c r="F68" s="129">
        <f>'SS Water_CM'!$H91</f>
        <v>333.45987498000005</v>
      </c>
      <c r="G68" s="64">
        <f>'SS Water_CM'!$I91</f>
        <v>377.88107688000002</v>
      </c>
      <c r="H68" s="64">
        <f>'SS Water_CM'!$J91</f>
        <v>438.62839780500008</v>
      </c>
      <c r="I68" s="64">
        <f>IF(B68&gt;=$D$21,0,'SS Imported_Water'!$D$14)</f>
        <v>0</v>
      </c>
      <c r="J68" s="64">
        <f>'SS Desalin_Water'!$D$11</f>
        <v>315.45000000000005</v>
      </c>
      <c r="K68" s="64">
        <f t="shared" si="2"/>
        <v>648.90987498000004</v>
      </c>
      <c r="L68" s="64">
        <f t="shared" si="3"/>
        <v>693.33107688000007</v>
      </c>
      <c r="M68" s="64">
        <f t="shared" si="4"/>
        <v>754.07839780500012</v>
      </c>
      <c r="N68" s="64">
        <f>'SS NEWater'!$D$12</f>
        <v>247.39999999999998</v>
      </c>
    </row>
    <row r="69" spans="2:14">
      <c r="B69" s="6">
        <v>2061</v>
      </c>
      <c r="C69" s="3" cm="1">
        <f t="array" ref="C69">_xlfn.IFS($D$8="Low",'Pop FCST'!C69,$D$8="Medium",'Pop FCST'!D69,$D$8="High",'Pop FCST'!E69)</f>
        <v>9192287.1358411238</v>
      </c>
      <c r="D69" s="111">
        <f t="shared" si="0"/>
        <v>786.97948187328939</v>
      </c>
      <c r="E69" s="64">
        <f t="shared" si="1"/>
        <v>651.41519316513359</v>
      </c>
      <c r="F69" s="129">
        <f>'SS Water_CM'!$H92</f>
        <v>333.45987498000005</v>
      </c>
      <c r="G69" s="64">
        <f>'SS Water_CM'!$I92</f>
        <v>377.88107688000002</v>
      </c>
      <c r="H69" s="64">
        <f>'SS Water_CM'!$J92</f>
        <v>438.62839780500008</v>
      </c>
      <c r="I69" s="64">
        <f>IF(B69&gt;=$D$21,0,'SS Imported_Water'!$D$14)</f>
        <v>0</v>
      </c>
      <c r="J69" s="64">
        <f>'SS Desalin_Water'!$D$11</f>
        <v>315.45000000000005</v>
      </c>
      <c r="K69" s="64">
        <f t="shared" si="2"/>
        <v>648.90987498000004</v>
      </c>
      <c r="L69" s="64">
        <f t="shared" si="3"/>
        <v>693.33107688000007</v>
      </c>
      <c r="M69" s="64">
        <f t="shared" si="4"/>
        <v>754.07839780500012</v>
      </c>
      <c r="N69" s="64">
        <f>'SS NEWater'!$D$12</f>
        <v>247.39999999999998</v>
      </c>
    </row>
    <row r="70" spans="2:14">
      <c r="B70" s="6">
        <v>2062</v>
      </c>
      <c r="C70" s="3" cm="1">
        <f t="array" ref="C70">_xlfn.IFS($D$8="Low",'Pop FCST'!C70,$D$8="Medium",'Pop FCST'!D70,$D$8="High",'Pop FCST'!E70)</f>
        <v>9292148.518073516</v>
      </c>
      <c r="D70" s="111">
        <f t="shared" si="0"/>
        <v>795.52891659905833</v>
      </c>
      <c r="E70" s="64">
        <f t="shared" si="1"/>
        <v>658.49191092158969</v>
      </c>
      <c r="F70" s="129">
        <f>'SS Water_CM'!$H93</f>
        <v>333.45987498000005</v>
      </c>
      <c r="G70" s="64">
        <f>'SS Water_CM'!$I93</f>
        <v>377.88107688000002</v>
      </c>
      <c r="H70" s="64">
        <f>'SS Water_CM'!$J93</f>
        <v>438.62839780500008</v>
      </c>
      <c r="I70" s="64">
        <f>IF(B70&gt;=$D$21,0,'SS Imported_Water'!$D$14)</f>
        <v>0</v>
      </c>
      <c r="J70" s="64">
        <f>'SS Desalin_Water'!$D$11</f>
        <v>315.45000000000005</v>
      </c>
      <c r="K70" s="64">
        <f t="shared" si="2"/>
        <v>648.90987498000004</v>
      </c>
      <c r="L70" s="64">
        <f t="shared" si="3"/>
        <v>693.33107688000007</v>
      </c>
      <c r="M70" s="64">
        <f t="shared" si="4"/>
        <v>754.07839780500012</v>
      </c>
      <c r="N70" s="64">
        <f>'SS NEWater'!$D$12</f>
        <v>247.39999999999998</v>
      </c>
    </row>
    <row r="71" spans="2:14">
      <c r="B71" s="6">
        <v>2063</v>
      </c>
      <c r="C71" s="3" cm="1">
        <f t="array" ref="C71">_xlfn.IFS($D$8="Low",'Pop FCST'!C71,$D$8="Medium",'Pop FCST'!D71,$D$8="High",'Pop FCST'!E71)</f>
        <v>9392768.8468108755</v>
      </c>
      <c r="D71" s="111">
        <f t="shared" si="0"/>
        <v>804.1433270287431</v>
      </c>
      <c r="E71" s="64">
        <f t="shared" si="1"/>
        <v>665.62241173299526</v>
      </c>
      <c r="F71" s="129">
        <f>'SS Water_CM'!$H94</f>
        <v>333.45987498000005</v>
      </c>
      <c r="G71" s="64">
        <f>'SS Water_CM'!$I94</f>
        <v>377.88107688000002</v>
      </c>
      <c r="H71" s="64">
        <f>'SS Water_CM'!$J94</f>
        <v>438.62839780500008</v>
      </c>
      <c r="I71" s="64">
        <f>IF(B71&gt;=$D$21,0,'SS Imported_Water'!$D$14)</f>
        <v>0</v>
      </c>
      <c r="J71" s="64">
        <f>'SS Desalin_Water'!$D$11</f>
        <v>315.45000000000005</v>
      </c>
      <c r="K71" s="64">
        <f t="shared" si="2"/>
        <v>648.90987498000004</v>
      </c>
      <c r="L71" s="64">
        <f t="shared" si="3"/>
        <v>693.33107688000007</v>
      </c>
      <c r="M71" s="64">
        <f t="shared" si="4"/>
        <v>754.07839780500012</v>
      </c>
      <c r="N71" s="64">
        <f>'SS NEWater'!$D$12</f>
        <v>247.39999999999998</v>
      </c>
    </row>
    <row r="72" spans="2:14">
      <c r="B72" s="6">
        <v>2064</v>
      </c>
      <c r="C72" s="3" cm="1">
        <f t="array" ref="C72">_xlfn.IFS($D$8="Low",'Pop FCST'!C72,$D$8="Medium",'Pop FCST'!D72,$D$8="High",'Pop FCST'!E72)</f>
        <v>9494153.8900466394</v>
      </c>
      <c r="D72" s="111">
        <f t="shared" si="0"/>
        <v>812.82320697769353</v>
      </c>
      <c r="E72" s="64">
        <f t="shared" si="1"/>
        <v>672.80710435056722</v>
      </c>
      <c r="F72" s="129">
        <f>'SS Water_CM'!$H95</f>
        <v>333.45987498000005</v>
      </c>
      <c r="G72" s="64">
        <f>'SS Water_CM'!$I95</f>
        <v>377.88107688000002</v>
      </c>
      <c r="H72" s="64">
        <f>'SS Water_CM'!$J95</f>
        <v>438.62839780500008</v>
      </c>
      <c r="I72" s="64">
        <f>IF(B72&gt;=$D$21,0,'SS Imported_Water'!$D$14)</f>
        <v>0</v>
      </c>
      <c r="J72" s="64">
        <f>'SS Desalin_Water'!$D$11</f>
        <v>315.45000000000005</v>
      </c>
      <c r="K72" s="64">
        <f t="shared" si="2"/>
        <v>648.90987498000004</v>
      </c>
      <c r="L72" s="64">
        <f t="shared" si="3"/>
        <v>693.33107688000007</v>
      </c>
      <c r="M72" s="64">
        <f t="shared" si="4"/>
        <v>754.07839780500012</v>
      </c>
      <c r="N72" s="64">
        <f>'SS NEWater'!$D$12</f>
        <v>247.39999999999998</v>
      </c>
    </row>
    <row r="73" spans="2:14">
      <c r="B73" s="6">
        <v>2065</v>
      </c>
      <c r="C73" s="3" cm="1">
        <f t="array" ref="C73">_xlfn.IFS($D$8="Low",'Pop FCST'!C73,$D$8="Medium",'Pop FCST'!D73,$D$8="High",'Pop FCST'!E73)</f>
        <v>9596309.4596109949</v>
      </c>
      <c r="D73" s="111">
        <f t="shared" si="0"/>
        <v>821.56905401425593</v>
      </c>
      <c r="E73" s="64">
        <f t="shared" si="1"/>
        <v>680.04640063203294</v>
      </c>
      <c r="F73" s="129">
        <f>'SS Water_CM'!$H96</f>
        <v>333.45987498000005</v>
      </c>
      <c r="G73" s="64">
        <f>'SS Water_CM'!$I96</f>
        <v>377.88107688000002</v>
      </c>
      <c r="H73" s="64">
        <f>'SS Water_CM'!$J96</f>
        <v>438.62839780500008</v>
      </c>
      <c r="I73" s="64">
        <f>IF(B73&gt;=$D$21,0,'SS Imported_Water'!$D$14)</f>
        <v>0</v>
      </c>
      <c r="J73" s="64">
        <f>'SS Desalin_Water'!$D$11</f>
        <v>315.45000000000005</v>
      </c>
      <c r="K73" s="64">
        <f t="shared" si="2"/>
        <v>648.90987498000004</v>
      </c>
      <c r="L73" s="64">
        <f t="shared" si="3"/>
        <v>693.33107688000007</v>
      </c>
      <c r="M73" s="64">
        <f t="shared" si="4"/>
        <v>754.07839780500012</v>
      </c>
      <c r="N73" s="64">
        <f>'SS NEWater'!$D$12</f>
        <v>247.39999999999998</v>
      </c>
    </row>
    <row r="74" spans="2:14">
      <c r="B74" s="7"/>
      <c r="C74" s="47"/>
      <c r="D74" s="48"/>
      <c r="E74" s="48"/>
      <c r="F74" s="49"/>
      <c r="H74" s="7"/>
      <c r="I74" s="45"/>
      <c r="L74" s="7"/>
    </row>
    <row r="75" spans="2:14" ht="14.4">
      <c r="B75" s="10" t="s">
        <v>169</v>
      </c>
      <c r="E75" s="10"/>
    </row>
    <row r="76" spans="2:14" ht="14.4">
      <c r="B76" s="10"/>
      <c r="C76" s="14" t="s">
        <v>67</v>
      </c>
      <c r="D76" s="14" t="s">
        <v>67</v>
      </c>
      <c r="E76" s="10"/>
      <c r="F76" s="14"/>
    </row>
    <row r="77" spans="2:14">
      <c r="B77" s="167" t="s">
        <v>25</v>
      </c>
      <c r="C77" s="171" t="s">
        <v>175</v>
      </c>
      <c r="D77" s="171" t="s">
        <v>176</v>
      </c>
      <c r="E77" s="171" t="s">
        <v>173</v>
      </c>
      <c r="F77" s="171" t="s">
        <v>174</v>
      </c>
    </row>
    <row r="78" spans="2:14" ht="14.25" customHeight="1">
      <c r="B78" s="167"/>
      <c r="C78" s="171"/>
      <c r="D78" s="171"/>
      <c r="E78" s="171"/>
      <c r="F78" s="171"/>
    </row>
    <row r="79" spans="2:14" ht="14.25" customHeight="1">
      <c r="B79" s="6">
        <v>2021</v>
      </c>
      <c r="C79" s="42">
        <f t="shared" ref="C79:C87" si="5">IF(B79=2021, $D$5-($D$5-$C$88)/COUNT($B$79:$B$88),C78-($D$5-$C$88)/COUNT($B$79:$B$88))</f>
        <v>5.5508242579285582E-5</v>
      </c>
      <c r="D79" s="42">
        <f>IF(B79&gt;=$D$16,C79*(1-$D$17*$D$18),C79)</f>
        <v>5.5508242579285582E-5</v>
      </c>
      <c r="E79" s="109">
        <f>'DD Water_Total'!K42</f>
        <v>0.48465931634365944</v>
      </c>
      <c r="F79" s="109">
        <f>'DD Water_Total'!L42</f>
        <v>0.51534068365634056</v>
      </c>
    </row>
    <row r="80" spans="2:14">
      <c r="B80" s="6">
        <v>2022</v>
      </c>
      <c r="C80" s="42">
        <f t="shared" si="5"/>
        <v>5.4612882292698297E-5</v>
      </c>
      <c r="D80" s="42">
        <f t="shared" ref="D80:D123" si="6">IF(B80&gt;=$D$16,C80*(1-$D$17*$D$18),C80)</f>
        <v>5.4612882292698297E-5</v>
      </c>
      <c r="E80" s="109">
        <f>'DD Water_Total'!K43</f>
        <v>0.47992446207843742</v>
      </c>
      <c r="F80" s="109">
        <f>'DD Water_Total'!L43</f>
        <v>0.52007553792156258</v>
      </c>
    </row>
    <row r="81" spans="2:6">
      <c r="B81" s="6">
        <v>2023</v>
      </c>
      <c r="C81" s="42">
        <f t="shared" si="5"/>
        <v>5.3717522006111013E-5</v>
      </c>
      <c r="D81" s="42">
        <f t="shared" si="6"/>
        <v>5.3717522006111013E-5</v>
      </c>
      <c r="E81" s="109">
        <f>'DD Water_Total'!K44</f>
        <v>0.4751896078132154</v>
      </c>
      <c r="F81" s="109">
        <f>'DD Water_Total'!L44</f>
        <v>0.5248103921867846</v>
      </c>
    </row>
    <row r="82" spans="2:6">
      <c r="B82" s="6">
        <v>2024</v>
      </c>
      <c r="C82" s="42">
        <f t="shared" si="5"/>
        <v>5.2822161719523728E-5</v>
      </c>
      <c r="D82" s="42">
        <f t="shared" si="6"/>
        <v>5.2822161719523728E-5</v>
      </c>
      <c r="E82" s="109">
        <f>'DD Water_Total'!K45</f>
        <v>0.47045475354799338</v>
      </c>
      <c r="F82" s="109">
        <f>'DD Water_Total'!L45</f>
        <v>0.52954524645200662</v>
      </c>
    </row>
    <row r="83" spans="2:6" ht="13.95" customHeight="1">
      <c r="B83" s="6">
        <v>2025</v>
      </c>
      <c r="C83" s="42">
        <f t="shared" si="5"/>
        <v>5.1926801432936444E-5</v>
      </c>
      <c r="D83" s="42">
        <f t="shared" si="6"/>
        <v>5.1926801432936444E-5</v>
      </c>
      <c r="E83" s="109">
        <f>'DD Water_Total'!K46</f>
        <v>0.46571989928277135</v>
      </c>
      <c r="F83" s="109">
        <f>'DD Water_Total'!L46</f>
        <v>0.53428010071722865</v>
      </c>
    </row>
    <row r="84" spans="2:6">
      <c r="B84" s="6">
        <v>2026</v>
      </c>
      <c r="C84" s="42">
        <f t="shared" si="5"/>
        <v>5.1031441146349159E-5</v>
      </c>
      <c r="D84" s="42">
        <f t="shared" si="6"/>
        <v>5.1031441146349159E-5</v>
      </c>
      <c r="E84" s="109">
        <f>'DD Water_Total'!K47</f>
        <v>0.46098504501754933</v>
      </c>
      <c r="F84" s="109">
        <f>'DD Water_Total'!L47</f>
        <v>0.53901495498245067</v>
      </c>
    </row>
    <row r="85" spans="2:6" ht="13.95" customHeight="1">
      <c r="B85" s="6">
        <v>2027</v>
      </c>
      <c r="C85" s="42">
        <f t="shared" si="5"/>
        <v>5.0136080859761875E-5</v>
      </c>
      <c r="D85" s="42">
        <f t="shared" si="6"/>
        <v>5.0136080859761875E-5</v>
      </c>
      <c r="E85" s="109">
        <f>'DD Water_Total'!K48</f>
        <v>0.45625019075232731</v>
      </c>
      <c r="F85" s="109">
        <f>'DD Water_Total'!L48</f>
        <v>0.54374980924767269</v>
      </c>
    </row>
    <row r="86" spans="2:6">
      <c r="B86" s="6">
        <v>2028</v>
      </c>
      <c r="C86" s="42">
        <f t="shared" si="5"/>
        <v>4.9240720573174591E-5</v>
      </c>
      <c r="D86" s="42">
        <f t="shared" si="6"/>
        <v>4.9240720573174591E-5</v>
      </c>
      <c r="E86" s="109">
        <f>'DD Water_Total'!K49</f>
        <v>0.45151533648710529</v>
      </c>
      <c r="F86" s="109">
        <f>'DD Water_Total'!L49</f>
        <v>0.54848466351289471</v>
      </c>
    </row>
    <row r="87" spans="2:6">
      <c r="B87" s="6">
        <v>2029</v>
      </c>
      <c r="C87" s="42">
        <f t="shared" si="5"/>
        <v>4.8345360286587306E-5</v>
      </c>
      <c r="D87" s="42">
        <f t="shared" si="6"/>
        <v>4.8345360286587306E-5</v>
      </c>
      <c r="E87" s="109">
        <f>'DD Water_Total'!K50</f>
        <v>0.44678048222188327</v>
      </c>
      <c r="F87" s="109">
        <f>'DD Water_Total'!L50</f>
        <v>0.55321951777811673</v>
      </c>
    </row>
    <row r="88" spans="2:6" ht="13.95" customHeight="1">
      <c r="B88" s="6">
        <v>2030</v>
      </c>
      <c r="C88" s="53">
        <f>D12</f>
        <v>4.7450000000000001E-5</v>
      </c>
      <c r="D88" s="42">
        <f t="shared" si="6"/>
        <v>4.7450000000000001E-5</v>
      </c>
      <c r="E88" s="109">
        <f>'DD Water_Total'!K51</f>
        <v>0.44204562795666125</v>
      </c>
      <c r="F88" s="109">
        <f>'DD Water_Total'!L51</f>
        <v>0.55795437204333875</v>
      </c>
    </row>
    <row r="89" spans="2:6" ht="13.95" customHeight="1">
      <c r="B89" s="6">
        <v>2031</v>
      </c>
      <c r="C89" s="42">
        <f t="shared" ref="C89:C117" si="7">C88-($C$88-$C$118)/COUNT($B$89:$B$118)</f>
        <v>4.7328333333333332E-5</v>
      </c>
      <c r="D89" s="42">
        <f t="shared" si="6"/>
        <v>4.7328333333333332E-5</v>
      </c>
      <c r="E89" s="109">
        <f>'DD Water_Total'!K52</f>
        <v>0.43731077369143923</v>
      </c>
      <c r="F89" s="109">
        <f>'DD Water_Total'!L52</f>
        <v>0.56268922630856077</v>
      </c>
    </row>
    <row r="90" spans="2:6">
      <c r="B90" s="6">
        <v>2032</v>
      </c>
      <c r="C90" s="42">
        <f t="shared" si="7"/>
        <v>4.7206666666666663E-5</v>
      </c>
      <c r="D90" s="42">
        <f t="shared" si="6"/>
        <v>4.7206666666666663E-5</v>
      </c>
      <c r="E90" s="109">
        <f>'DD Water_Total'!K53</f>
        <v>0.4325759194262172</v>
      </c>
      <c r="F90" s="109">
        <f>'DD Water_Total'!L53</f>
        <v>0.5674240805737828</v>
      </c>
    </row>
    <row r="91" spans="2:6">
      <c r="B91" s="6">
        <v>2033</v>
      </c>
      <c r="C91" s="42">
        <f t="shared" si="7"/>
        <v>4.7084999999999994E-5</v>
      </c>
      <c r="D91" s="42">
        <f t="shared" si="6"/>
        <v>4.7084999999999994E-5</v>
      </c>
      <c r="E91" s="109">
        <f>'DD Water_Total'!K54</f>
        <v>0.42784106516099518</v>
      </c>
      <c r="F91" s="109">
        <f>'DD Water_Total'!L54</f>
        <v>0.57215893483900482</v>
      </c>
    </row>
    <row r="92" spans="2:6">
      <c r="B92" s="6">
        <v>2034</v>
      </c>
      <c r="C92" s="42">
        <f t="shared" si="7"/>
        <v>4.6963333333333325E-5</v>
      </c>
      <c r="D92" s="42">
        <f t="shared" si="6"/>
        <v>4.6963333333333325E-5</v>
      </c>
      <c r="E92" s="109">
        <f>'DD Water_Total'!K55</f>
        <v>0.42310621089577316</v>
      </c>
      <c r="F92" s="109">
        <f>'DD Water_Total'!L55</f>
        <v>0.57689378910422684</v>
      </c>
    </row>
    <row r="93" spans="2:6">
      <c r="B93" s="6">
        <v>2035</v>
      </c>
      <c r="C93" s="42">
        <f t="shared" si="7"/>
        <v>4.6841666666666656E-5</v>
      </c>
      <c r="D93" s="42">
        <f t="shared" si="6"/>
        <v>4.6841666666666656E-5</v>
      </c>
      <c r="E93" s="109">
        <f>'DD Water_Total'!K56</f>
        <v>0.41837135663055114</v>
      </c>
      <c r="F93" s="109">
        <f>'DD Water_Total'!L56</f>
        <v>0.58162864336944886</v>
      </c>
    </row>
    <row r="94" spans="2:6" ht="13.95" customHeight="1">
      <c r="B94" s="6">
        <v>2036</v>
      </c>
      <c r="C94" s="42">
        <f t="shared" si="7"/>
        <v>4.6719999999999986E-5</v>
      </c>
      <c r="D94" s="42">
        <f t="shared" si="6"/>
        <v>4.6719999999999986E-5</v>
      </c>
      <c r="E94" s="109">
        <f>'DD Water_Total'!K57</f>
        <v>0.41363650236532912</v>
      </c>
      <c r="F94" s="109">
        <f>'DD Water_Total'!L57</f>
        <v>0.58636349763467088</v>
      </c>
    </row>
    <row r="95" spans="2:6" ht="13.95" customHeight="1">
      <c r="B95" s="6">
        <v>2037</v>
      </c>
      <c r="C95" s="42">
        <f t="shared" si="7"/>
        <v>4.6598333333333317E-5</v>
      </c>
      <c r="D95" s="42">
        <f t="shared" si="6"/>
        <v>4.6598333333333317E-5</v>
      </c>
      <c r="E95" s="109">
        <f>'DD Water_Total'!K58</f>
        <v>0.4089016481001071</v>
      </c>
      <c r="F95" s="109">
        <f>'DD Water_Total'!L58</f>
        <v>0.5910983518998929</v>
      </c>
    </row>
    <row r="96" spans="2:6">
      <c r="B96" s="6">
        <v>2038</v>
      </c>
      <c r="C96" s="42">
        <f t="shared" si="7"/>
        <v>4.6476666666666648E-5</v>
      </c>
      <c r="D96" s="42">
        <f t="shared" si="6"/>
        <v>4.6476666666666648E-5</v>
      </c>
      <c r="E96" s="109">
        <f>'DD Water_Total'!K59</f>
        <v>0.40416679383488507</v>
      </c>
      <c r="F96" s="109">
        <f>'DD Water_Total'!L59</f>
        <v>0.59583320616511493</v>
      </c>
    </row>
    <row r="97" spans="2:6">
      <c r="B97" s="6">
        <v>2039</v>
      </c>
      <c r="C97" s="42">
        <f t="shared" si="7"/>
        <v>4.6354999999999979E-5</v>
      </c>
      <c r="D97" s="42">
        <f t="shared" si="6"/>
        <v>4.6354999999999979E-5</v>
      </c>
      <c r="E97" s="109">
        <f>'DD Water_Total'!K60</f>
        <v>0.39943193956966305</v>
      </c>
      <c r="F97" s="109">
        <f>'DD Water_Total'!L60</f>
        <v>0.60056806043033695</v>
      </c>
    </row>
    <row r="98" spans="2:6">
      <c r="B98" s="6">
        <v>2040</v>
      </c>
      <c r="C98" s="42">
        <f t="shared" si="7"/>
        <v>4.623333333333331E-5</v>
      </c>
      <c r="D98" s="141">
        <f t="shared" si="6"/>
        <v>4.5678533333333306E-5</v>
      </c>
      <c r="E98" s="109">
        <f>'DD Water_Total'!K61</f>
        <v>0.39469708530444103</v>
      </c>
      <c r="F98" s="109">
        <f>'DD Water_Total'!L61</f>
        <v>0.60530291469555897</v>
      </c>
    </row>
    <row r="99" spans="2:6">
      <c r="B99" s="6">
        <v>2041</v>
      </c>
      <c r="C99" s="42">
        <f t="shared" si="7"/>
        <v>4.6111666666666641E-5</v>
      </c>
      <c r="D99" s="42">
        <f t="shared" si="6"/>
        <v>4.5558326666666637E-5</v>
      </c>
      <c r="E99" s="109">
        <f>'DD Water_Total'!K62</f>
        <v>0.38996223103921901</v>
      </c>
      <c r="F99" s="109">
        <f>'DD Water_Total'!L62</f>
        <v>0.61003776896078099</v>
      </c>
    </row>
    <row r="100" spans="2:6">
      <c r="B100" s="6">
        <v>2042</v>
      </c>
      <c r="C100" s="42">
        <f t="shared" si="7"/>
        <v>4.5989999999999971E-5</v>
      </c>
      <c r="D100" s="42">
        <f t="shared" si="6"/>
        <v>4.5438119999999969E-5</v>
      </c>
      <c r="E100" s="109">
        <f>'DD Water_Total'!K63</f>
        <v>0.38522737677399699</v>
      </c>
      <c r="F100" s="109">
        <f>'DD Water_Total'!L63</f>
        <v>0.61477262322600301</v>
      </c>
    </row>
    <row r="101" spans="2:6">
      <c r="B101" s="6">
        <v>2043</v>
      </c>
      <c r="C101" s="42">
        <f t="shared" si="7"/>
        <v>4.5868333333333302E-5</v>
      </c>
      <c r="D101" s="42">
        <f t="shared" si="6"/>
        <v>4.53179133333333E-5</v>
      </c>
      <c r="E101" s="109">
        <f>'DD Water_Total'!K64</f>
        <v>0.38049252250877497</v>
      </c>
      <c r="F101" s="109">
        <f>'DD Water_Total'!L64</f>
        <v>0.61950747749122503</v>
      </c>
    </row>
    <row r="102" spans="2:6">
      <c r="B102" s="6">
        <v>2044</v>
      </c>
      <c r="C102" s="42">
        <f t="shared" si="7"/>
        <v>4.5746666666666633E-5</v>
      </c>
      <c r="D102" s="42">
        <f t="shared" si="6"/>
        <v>4.5197706666666631E-5</v>
      </c>
      <c r="E102" s="109">
        <f>'DD Water_Total'!K65</f>
        <v>0.37575766824355294</v>
      </c>
      <c r="F102" s="109">
        <f>'DD Water_Total'!L65</f>
        <v>0.62424233175644706</v>
      </c>
    </row>
    <row r="103" spans="2:6">
      <c r="B103" s="6">
        <v>2045</v>
      </c>
      <c r="C103" s="42">
        <f t="shared" si="7"/>
        <v>4.5624999999999964E-5</v>
      </c>
      <c r="D103" s="42">
        <f t="shared" si="6"/>
        <v>4.5077499999999963E-5</v>
      </c>
      <c r="E103" s="109">
        <f>'DD Water_Total'!K66</f>
        <v>0.37102281397833092</v>
      </c>
      <c r="F103" s="109">
        <f>'DD Water_Total'!L66</f>
        <v>0.62897718602166908</v>
      </c>
    </row>
    <row r="104" spans="2:6">
      <c r="B104" s="6">
        <v>2046</v>
      </c>
      <c r="C104" s="42">
        <f t="shared" si="7"/>
        <v>4.5503333333333295E-5</v>
      </c>
      <c r="D104" s="42">
        <f t="shared" si="6"/>
        <v>4.4957293333333294E-5</v>
      </c>
      <c r="E104" s="109">
        <f>'DD Water_Total'!K67</f>
        <v>0.3662879597131089</v>
      </c>
      <c r="F104" s="109">
        <f>'DD Water_Total'!L67</f>
        <v>0.6337120402868911</v>
      </c>
    </row>
    <row r="105" spans="2:6">
      <c r="B105" s="6">
        <v>2047</v>
      </c>
      <c r="C105" s="42">
        <f t="shared" si="7"/>
        <v>4.5381666666666625E-5</v>
      </c>
      <c r="D105" s="42">
        <f t="shared" si="6"/>
        <v>4.4837086666666625E-5</v>
      </c>
      <c r="E105" s="109">
        <f>'DD Water_Total'!K68</f>
        <v>0.36155310544788688</v>
      </c>
      <c r="F105" s="109">
        <f>'DD Water_Total'!L68</f>
        <v>0.63844689455211312</v>
      </c>
    </row>
    <row r="106" spans="2:6">
      <c r="B106" s="6">
        <v>2048</v>
      </c>
      <c r="C106" s="42">
        <f t="shared" si="7"/>
        <v>4.5259999999999956E-5</v>
      </c>
      <c r="D106" s="42">
        <f t="shared" si="6"/>
        <v>4.4716879999999957E-5</v>
      </c>
      <c r="E106" s="109">
        <f>'DD Water_Total'!K69</f>
        <v>0.35681825118266486</v>
      </c>
      <c r="F106" s="109">
        <f>'DD Water_Total'!L69</f>
        <v>0.64318174881733514</v>
      </c>
    </row>
    <row r="107" spans="2:6">
      <c r="B107" s="6">
        <v>2049</v>
      </c>
      <c r="C107" s="42">
        <f t="shared" si="7"/>
        <v>4.5138333333333287E-5</v>
      </c>
      <c r="D107" s="42">
        <f t="shared" si="6"/>
        <v>4.4596673333333288E-5</v>
      </c>
      <c r="E107" s="109">
        <f>'DD Water_Total'!K70</f>
        <v>0.35208339691744284</v>
      </c>
      <c r="F107" s="109">
        <f>'DD Water_Total'!L70</f>
        <v>0.64791660308255716</v>
      </c>
    </row>
    <row r="108" spans="2:6">
      <c r="B108" s="6">
        <v>2050</v>
      </c>
      <c r="C108" s="42">
        <f t="shared" si="7"/>
        <v>4.5016666666666618E-5</v>
      </c>
      <c r="D108" s="42">
        <f t="shared" si="6"/>
        <v>4.4476466666666619E-5</v>
      </c>
      <c r="E108" s="109">
        <f>'DD Water_Total'!K71</f>
        <v>0.34734854265222082</v>
      </c>
      <c r="F108" s="109">
        <f>'DD Water_Total'!L71</f>
        <v>0.65265145734777918</v>
      </c>
    </row>
    <row r="109" spans="2:6">
      <c r="B109" s="6">
        <v>2051</v>
      </c>
      <c r="C109" s="42">
        <f t="shared" si="7"/>
        <v>4.4894999999999949E-5</v>
      </c>
      <c r="D109" s="42">
        <f t="shared" si="6"/>
        <v>4.4356259999999951E-5</v>
      </c>
      <c r="E109" s="109">
        <f>'DD Water_Total'!K72</f>
        <v>0.34261368838699879</v>
      </c>
      <c r="F109" s="109">
        <f>'DD Water_Total'!L72</f>
        <v>0.65738631161300121</v>
      </c>
    </row>
    <row r="110" spans="2:6">
      <c r="B110" s="6">
        <v>2052</v>
      </c>
      <c r="C110" s="42">
        <f t="shared" si="7"/>
        <v>4.477333333333328E-5</v>
      </c>
      <c r="D110" s="42">
        <f t="shared" si="6"/>
        <v>4.4236053333333282E-5</v>
      </c>
      <c r="E110" s="109">
        <f>'DD Water_Total'!K73</f>
        <v>0.33787883412177677</v>
      </c>
      <c r="F110" s="109">
        <f>'DD Water_Total'!L73</f>
        <v>0.66212116587822323</v>
      </c>
    </row>
    <row r="111" spans="2:6">
      <c r="B111" s="6">
        <v>2053</v>
      </c>
      <c r="C111" s="42">
        <f t="shared" si="7"/>
        <v>4.465166666666661E-5</v>
      </c>
      <c r="D111" s="42">
        <f t="shared" si="6"/>
        <v>4.4115846666666613E-5</v>
      </c>
      <c r="E111" s="109">
        <f>'DD Water_Total'!K74</f>
        <v>0.33314397985655475</v>
      </c>
      <c r="F111" s="109">
        <f>'DD Water_Total'!L74</f>
        <v>0.66685602014344525</v>
      </c>
    </row>
    <row r="112" spans="2:6">
      <c r="B112" s="6">
        <v>2054</v>
      </c>
      <c r="C112" s="42">
        <f t="shared" si="7"/>
        <v>4.4529999999999941E-5</v>
      </c>
      <c r="D112" s="42">
        <f t="shared" si="6"/>
        <v>4.3995639999999945E-5</v>
      </c>
      <c r="E112" s="109">
        <f>'DD Water_Total'!K75</f>
        <v>0.32840912559133273</v>
      </c>
      <c r="F112" s="109">
        <f>'DD Water_Total'!L75</f>
        <v>0.67159087440866727</v>
      </c>
    </row>
    <row r="113" spans="2:6">
      <c r="B113" s="6">
        <v>2055</v>
      </c>
      <c r="C113" s="42">
        <f t="shared" si="7"/>
        <v>4.4408333333333272E-5</v>
      </c>
      <c r="D113" s="42">
        <f t="shared" si="6"/>
        <v>4.3875433333333269E-5</v>
      </c>
      <c r="E113" s="109">
        <f>'DD Water_Total'!K76</f>
        <v>0.32367427132611071</v>
      </c>
      <c r="F113" s="109">
        <f>'DD Water_Total'!L76</f>
        <v>0.67632572867388929</v>
      </c>
    </row>
    <row r="114" spans="2:6">
      <c r="B114" s="6">
        <v>2056</v>
      </c>
      <c r="C114" s="42">
        <f t="shared" si="7"/>
        <v>4.4286666666666603E-5</v>
      </c>
      <c r="D114" s="42">
        <f t="shared" si="6"/>
        <v>4.37552266666666E-5</v>
      </c>
      <c r="E114" s="109">
        <f>'DD Water_Total'!K77</f>
        <v>0.31893941706088869</v>
      </c>
      <c r="F114" s="109">
        <f>'DD Water_Total'!L77</f>
        <v>0.68106058293911131</v>
      </c>
    </row>
    <row r="115" spans="2:6">
      <c r="B115" s="6">
        <v>2057</v>
      </c>
      <c r="C115" s="42">
        <f t="shared" si="7"/>
        <v>4.4164999999999934E-5</v>
      </c>
      <c r="D115" s="42">
        <f t="shared" si="6"/>
        <v>4.3635019999999932E-5</v>
      </c>
      <c r="E115" s="109">
        <f>'DD Water_Total'!K78</f>
        <v>0.31420456279566666</v>
      </c>
      <c r="F115" s="109">
        <f>'DD Water_Total'!L78</f>
        <v>0.68579543720433334</v>
      </c>
    </row>
    <row r="116" spans="2:6">
      <c r="B116" s="6">
        <v>2058</v>
      </c>
      <c r="C116" s="42">
        <f t="shared" si="7"/>
        <v>4.4043333333333265E-5</v>
      </c>
      <c r="D116" s="42">
        <f t="shared" si="6"/>
        <v>4.3514813333333263E-5</v>
      </c>
      <c r="E116" s="109">
        <f>'DD Water_Total'!K79</f>
        <v>0.30946970853044464</v>
      </c>
      <c r="F116" s="109">
        <f>'DD Water_Total'!L79</f>
        <v>0.69053029146955536</v>
      </c>
    </row>
    <row r="117" spans="2:6">
      <c r="B117" s="6">
        <v>2059</v>
      </c>
      <c r="C117" s="42">
        <f t="shared" si="7"/>
        <v>4.3921666666666595E-5</v>
      </c>
      <c r="D117" s="42">
        <f t="shared" si="6"/>
        <v>4.3394606666666594E-5</v>
      </c>
      <c r="E117" s="109">
        <f>'DD Water_Total'!K80</f>
        <v>0.30473485426522262</v>
      </c>
      <c r="F117" s="109">
        <f>'DD Water_Total'!L80</f>
        <v>0.69526514573477738</v>
      </c>
    </row>
    <row r="118" spans="2:6">
      <c r="B118" s="6">
        <v>2060</v>
      </c>
      <c r="C118" s="53">
        <f>D13</f>
        <v>4.3799999999999994E-5</v>
      </c>
      <c r="D118" s="42">
        <f t="shared" si="6"/>
        <v>4.3274399999999993E-5</v>
      </c>
      <c r="E118" s="109">
        <f>'DD Water_Total'!K81</f>
        <v>0.3</v>
      </c>
      <c r="F118" s="109">
        <f>'DD Water_Total'!L81</f>
        <v>0.7</v>
      </c>
    </row>
    <row r="119" spans="2:6">
      <c r="B119" s="6">
        <v>2061</v>
      </c>
      <c r="C119" s="42">
        <f>$C$118</f>
        <v>4.3799999999999994E-5</v>
      </c>
      <c r="D119" s="42">
        <f t="shared" si="6"/>
        <v>4.3274399999999993E-5</v>
      </c>
      <c r="E119" s="109">
        <f>'DD Water_Total'!K82</f>
        <v>0.3</v>
      </c>
      <c r="F119" s="109">
        <f>'DD Water_Total'!L82</f>
        <v>0.7</v>
      </c>
    </row>
    <row r="120" spans="2:6">
      <c r="B120" s="6">
        <v>2062</v>
      </c>
      <c r="C120" s="42">
        <f>$C$118</f>
        <v>4.3799999999999994E-5</v>
      </c>
      <c r="D120" s="42">
        <f t="shared" si="6"/>
        <v>4.3274399999999993E-5</v>
      </c>
      <c r="E120" s="109">
        <f>'DD Water_Total'!K83</f>
        <v>0.3</v>
      </c>
      <c r="F120" s="109">
        <f>'DD Water_Total'!L83</f>
        <v>0.7</v>
      </c>
    </row>
    <row r="121" spans="2:6">
      <c r="B121" s="6">
        <v>2063</v>
      </c>
      <c r="C121" s="42">
        <f>$C$118</f>
        <v>4.3799999999999994E-5</v>
      </c>
      <c r="D121" s="42">
        <f t="shared" si="6"/>
        <v>4.3274399999999993E-5</v>
      </c>
      <c r="E121" s="109">
        <f>'DD Water_Total'!K84</f>
        <v>0.3</v>
      </c>
      <c r="F121" s="109">
        <f>'DD Water_Total'!L84</f>
        <v>0.7</v>
      </c>
    </row>
    <row r="122" spans="2:6">
      <c r="B122" s="6">
        <v>2064</v>
      </c>
      <c r="C122" s="42">
        <f>$C$118</f>
        <v>4.3799999999999994E-5</v>
      </c>
      <c r="D122" s="42">
        <f t="shared" si="6"/>
        <v>4.3274399999999993E-5</v>
      </c>
      <c r="E122" s="109">
        <f>'DD Water_Total'!K85</f>
        <v>0.3</v>
      </c>
      <c r="F122" s="109">
        <f>'DD Water_Total'!L85</f>
        <v>0.7</v>
      </c>
    </row>
    <row r="123" spans="2:6">
      <c r="B123" s="6">
        <v>2065</v>
      </c>
      <c r="C123" s="42">
        <f>$C$118</f>
        <v>4.3799999999999994E-5</v>
      </c>
      <c r="D123" s="42">
        <f t="shared" si="6"/>
        <v>4.3274399999999993E-5</v>
      </c>
      <c r="E123" s="109">
        <f>'DD Water_Total'!K86</f>
        <v>0.3</v>
      </c>
      <c r="F123" s="109">
        <f>'DD Water_Total'!L86</f>
        <v>0.7</v>
      </c>
    </row>
  </sheetData>
  <sheetProtection sheet="1" objects="1" scenarios="1"/>
  <mergeCells count="17">
    <mergeCell ref="B8:C8"/>
    <mergeCell ref="B16:C16"/>
    <mergeCell ref="B17:C17"/>
    <mergeCell ref="B18:C18"/>
    <mergeCell ref="B4:C4"/>
    <mergeCell ref="B5:C5"/>
    <mergeCell ref="B22:C22"/>
    <mergeCell ref="D27:E27"/>
    <mergeCell ref="B21:C21"/>
    <mergeCell ref="F27:N27"/>
    <mergeCell ref="B27:B28"/>
    <mergeCell ref="C27:C28"/>
    <mergeCell ref="B77:B78"/>
    <mergeCell ref="C77:C78"/>
    <mergeCell ref="D77:D78"/>
    <mergeCell ref="E77:E78"/>
    <mergeCell ref="F77:F78"/>
  </mergeCells>
  <phoneticPr fontId="31" type="noConversion"/>
  <conditionalFormatting sqref="D8 C12:C13 D16:D18 D21:D22">
    <cfRule type="containsBlanks" dxfId="1" priority="1">
      <formula>LEN(TRIM(C8))=0</formula>
    </cfRule>
  </conditionalFormatting>
  <dataValidations count="1">
    <dataValidation type="list" allowBlank="1" showInputMessage="1" showErrorMessage="1" sqref="D8" xr:uid="{39FD3D78-08EB-4A72-A89B-CAEBCEF9BFDC}">
      <formula1>"Low, Medium, High"</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7">
        <x14:dataValidation type="list" allowBlank="1" showInputMessage="1" showErrorMessage="1" xr:uid="{FE0665EC-4CA0-4737-9771-BCFAA953CBA5}">
          <x14:formula1>
            <xm:f>'LIST-Conserv_Eff'!$B$6:$B$11</xm:f>
          </x14:formula1>
          <xm:sqref>C12</xm:sqref>
        </x14:dataValidation>
        <x14:dataValidation type="list" allowBlank="1" showInputMessage="1" showErrorMessage="1" xr:uid="{E5BBC0D9-F7FE-478B-834D-6CE0FC17EE29}">
          <x14:formula1>
            <xm:f>'LIST-Conserv_Eff'!$C$6:$C$12</xm:f>
          </x14:formula1>
          <xm:sqref>C13</xm:sqref>
        </x14:dataValidation>
        <x14:dataValidation type="list" allowBlank="1" showInputMessage="1" showErrorMessage="1" xr:uid="{F74F438A-5DF2-4339-AE3D-5194E1CD195B}">
          <x14:formula1>
            <xm:f>'LIST-Px&amp;DD'!$B$5:$B$49</xm:f>
          </x14:formula1>
          <xm:sqref>D16</xm:sqref>
        </x14:dataValidation>
        <x14:dataValidation type="list" allowBlank="1" showInputMessage="1" showErrorMessage="1" xr:uid="{DCA3BCA6-7E96-4476-9E75-0076F1677672}">
          <x14:formula1>
            <xm:f>'LIST-Px&amp;DD'!$D$5:$D$45</xm:f>
          </x14:formula1>
          <xm:sqref>D17</xm:sqref>
        </x14:dataValidation>
        <x14:dataValidation type="list" allowBlank="1" showInputMessage="1" showErrorMessage="1" xr:uid="{7700B224-F408-4EAA-969B-899DE2D1D4C5}">
          <x14:formula1>
            <xm:f>'LIST-Px&amp;DD'!$F$5:$F$14</xm:f>
          </x14:formula1>
          <xm:sqref>D18</xm:sqref>
        </x14:dataValidation>
        <x14:dataValidation type="list" allowBlank="1" showInputMessage="1" showErrorMessage="1" xr:uid="{8CB45B6D-ECEB-4600-B70E-08D7FC9CA98C}">
          <x14:formula1>
            <xm:f>'LIST-Reserve'!$B$5:$B$17</xm:f>
          </x14:formula1>
          <xm:sqref>D22</xm:sqref>
        </x14:dataValidation>
        <x14:dataValidation type="list" allowBlank="1" showInputMessage="1" showErrorMessage="1" xr:uid="{704F5096-F6DF-491F-B427-7A3AEA71414A}">
          <x14:formula1>
            <xm:f>'LIST-WA End'!$B$5:$B$44</xm:f>
          </x14:formula1>
          <xm:sqref>D21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1C5B4-E501-4E35-A965-AD8727E73EEE}">
  <sheetPr codeName="Sheet5">
    <tabColor theme="2" tint="-9.9978637043366805E-2"/>
  </sheetPr>
  <dimension ref="B1:R123"/>
  <sheetViews>
    <sheetView showGridLines="0" tabSelected="1" zoomScaleNormal="100" workbookViewId="0">
      <selection activeCell="C13" sqref="C13"/>
    </sheetView>
  </sheetViews>
  <sheetFormatPr defaultRowHeight="13.8"/>
  <cols>
    <col min="1" max="1" width="2.59765625" customWidth="1"/>
    <col min="2" max="18" width="22.5" customWidth="1"/>
    <col min="19" max="20" width="18.69921875" customWidth="1"/>
  </cols>
  <sheetData>
    <row r="1" spans="2:7" ht="21">
      <c r="B1" s="8" t="s">
        <v>178</v>
      </c>
      <c r="C1" s="8"/>
      <c r="D1" s="8"/>
      <c r="E1" s="8"/>
      <c r="F1" s="8"/>
      <c r="G1" s="8"/>
    </row>
    <row r="3" spans="2:7" ht="14.4">
      <c r="B3" s="44" t="s">
        <v>66</v>
      </c>
    </row>
    <row r="4" spans="2:7">
      <c r="B4" s="196" t="s">
        <v>158</v>
      </c>
      <c r="C4" s="196"/>
      <c r="D4" s="154">
        <f>'DD Pot_Water'!I35</f>
        <v>0.58970935438505623</v>
      </c>
    </row>
    <row r="5" spans="2:7">
      <c r="B5" s="196" t="s">
        <v>237</v>
      </c>
      <c r="C5" s="196"/>
      <c r="D5" s="155">
        <f>'DD Pot_Water'!D34*365</f>
        <v>5.6403602865872866E-5</v>
      </c>
    </row>
    <row r="7" spans="2:7" ht="14.4">
      <c r="B7" s="44" t="s">
        <v>155</v>
      </c>
    </row>
    <row r="8" spans="2:7">
      <c r="B8" s="197" t="s">
        <v>10</v>
      </c>
      <c r="C8" s="198"/>
      <c r="D8" s="146" t="s">
        <v>11</v>
      </c>
    </row>
    <row r="9" spans="2:7">
      <c r="B9" s="197" t="s">
        <v>17</v>
      </c>
      <c r="C9" s="198"/>
      <c r="D9" s="146" t="s">
        <v>11</v>
      </c>
    </row>
    <row r="10" spans="2:7">
      <c r="D10" s="7"/>
    </row>
    <row r="11" spans="2:7" ht="14.4">
      <c r="B11" s="44" t="s">
        <v>12</v>
      </c>
      <c r="D11" s="7"/>
    </row>
    <row r="12" spans="2:7" ht="26.4">
      <c r="C12" s="108" t="s">
        <v>156</v>
      </c>
      <c r="D12" s="108" t="s">
        <v>157</v>
      </c>
    </row>
    <row r="13" spans="2:7">
      <c r="B13" s="88" t="s">
        <v>34</v>
      </c>
      <c r="C13" s="147">
        <v>1.2999999999999997E-7</v>
      </c>
      <c r="D13" s="141">
        <f>C13*365</f>
        <v>4.7449999999999988E-5</v>
      </c>
    </row>
    <row r="14" spans="2:7">
      <c r="B14" s="88" t="s">
        <v>35</v>
      </c>
      <c r="C14" s="147">
        <v>1.1999999999999999E-7</v>
      </c>
      <c r="D14" s="141">
        <f>C14*365</f>
        <v>4.3799999999999994E-5</v>
      </c>
    </row>
    <row r="15" spans="2:7">
      <c r="D15" s="138"/>
    </row>
    <row r="16" spans="2:7" ht="14.4">
      <c r="B16" s="44" t="s">
        <v>16</v>
      </c>
      <c r="D16" s="158"/>
    </row>
    <row r="17" spans="2:18">
      <c r="B17" s="197" t="s">
        <v>18</v>
      </c>
      <c r="C17" s="198"/>
      <c r="D17" s="159">
        <f>2040</f>
        <v>2040</v>
      </c>
    </row>
    <row r="18" spans="2:18">
      <c r="B18" s="197" t="s">
        <v>235</v>
      </c>
      <c r="C18" s="198"/>
      <c r="D18" s="160">
        <v>0.4</v>
      </c>
    </row>
    <row r="19" spans="2:18">
      <c r="D19" s="161"/>
    </row>
    <row r="20" spans="2:18" ht="14.4">
      <c r="B20" s="10" t="s">
        <v>106</v>
      </c>
      <c r="C20" s="10"/>
      <c r="D20" s="161"/>
    </row>
    <row r="21" spans="2:18">
      <c r="B21" s="197" t="s">
        <v>159</v>
      </c>
      <c r="C21" s="198"/>
      <c r="D21" s="151">
        <v>2040</v>
      </c>
    </row>
    <row r="22" spans="2:18">
      <c r="B22" s="199" t="s">
        <v>160</v>
      </c>
      <c r="C22" s="199"/>
      <c r="D22" s="152">
        <v>2</v>
      </c>
    </row>
    <row r="25" spans="2:18" ht="14.4">
      <c r="B25" s="10" t="s">
        <v>72</v>
      </c>
    </row>
    <row r="26" spans="2:18">
      <c r="D26" s="14" t="s">
        <v>67</v>
      </c>
      <c r="E26" s="14" t="s">
        <v>67</v>
      </c>
      <c r="F26" s="14" t="s">
        <v>67</v>
      </c>
      <c r="G26" s="14" t="s">
        <v>67</v>
      </c>
      <c r="H26" s="14" t="s">
        <v>67</v>
      </c>
      <c r="I26" s="14" t="s">
        <v>67</v>
      </c>
      <c r="J26" s="14" t="s">
        <v>67</v>
      </c>
      <c r="K26" s="14" t="s">
        <v>67</v>
      </c>
      <c r="L26" s="14" t="s">
        <v>67</v>
      </c>
      <c r="M26" s="14" t="s">
        <v>67</v>
      </c>
      <c r="N26" s="14" t="s">
        <v>67</v>
      </c>
      <c r="O26" s="14" t="s">
        <v>67</v>
      </c>
      <c r="P26" s="14" t="s">
        <v>67</v>
      </c>
      <c r="Q26" s="14" t="s">
        <v>67</v>
      </c>
      <c r="R26" s="14" t="s">
        <v>67</v>
      </c>
    </row>
    <row r="27" spans="2:18">
      <c r="B27" s="184" t="s">
        <v>25</v>
      </c>
      <c r="C27" s="167" t="s">
        <v>4</v>
      </c>
      <c r="D27" s="200" t="s">
        <v>179</v>
      </c>
      <c r="E27" s="201"/>
      <c r="F27" s="200" t="s">
        <v>180</v>
      </c>
      <c r="G27" s="201"/>
      <c r="H27" s="200" t="s">
        <v>181</v>
      </c>
      <c r="I27" s="201"/>
      <c r="J27" s="200" t="s">
        <v>182</v>
      </c>
      <c r="K27" s="201"/>
      <c r="L27" s="200" t="s">
        <v>183</v>
      </c>
      <c r="M27" s="201"/>
      <c r="N27" s="202" t="s">
        <v>164</v>
      </c>
      <c r="O27" s="203"/>
      <c r="P27" s="203"/>
      <c r="Q27" s="203"/>
      <c r="R27" s="204"/>
    </row>
    <row r="28" spans="2:18" ht="27.6">
      <c r="B28" s="184"/>
      <c r="C28" s="167"/>
      <c r="D28" s="75" t="s">
        <v>165</v>
      </c>
      <c r="E28" s="75" t="s">
        <v>166</v>
      </c>
      <c r="F28" s="75" t="s">
        <v>165</v>
      </c>
      <c r="G28" s="75" t="s">
        <v>166</v>
      </c>
      <c r="H28" s="75" t="s">
        <v>165</v>
      </c>
      <c r="I28" s="75" t="s">
        <v>166</v>
      </c>
      <c r="J28" s="75" t="s">
        <v>184</v>
      </c>
      <c r="K28" s="75" t="s">
        <v>166</v>
      </c>
      <c r="L28" s="75" t="s">
        <v>184</v>
      </c>
      <c r="M28" s="75" t="s">
        <v>166</v>
      </c>
      <c r="N28" s="75" t="s">
        <v>56</v>
      </c>
      <c r="O28" s="75" t="s">
        <v>58</v>
      </c>
      <c r="P28" s="75" t="s">
        <v>57</v>
      </c>
      <c r="Q28" s="75" t="s">
        <v>167</v>
      </c>
      <c r="R28" s="75" t="s">
        <v>168</v>
      </c>
    </row>
    <row r="29" spans="2:18">
      <c r="B29" s="6">
        <v>2021</v>
      </c>
      <c r="C29" s="3" cm="1">
        <f t="array" ref="C29">_xlfn.IFS($D$8="Low",'Pop FCST'!C29,$D$8="Medium",'Pop FCST'!D29,$D$8="High",'Pop FCST'!E29)</f>
        <v>5759019.1332</v>
      </c>
      <c r="D29" s="64">
        <f t="shared" ref="D29:D73" si="0">VLOOKUP($B29,$B$79:$G$123,2,FALSE)/$D$4*$C29*(12+$D$22)/12</f>
        <v>632.43336196363884</v>
      </c>
      <c r="E29" s="64">
        <f>VLOOKUP($B29,$B$79:$G$123,2,FALSE)/$H79*$C29-D29/(12+$D$22)*12</f>
        <v>117.497230662927</v>
      </c>
      <c r="F29" s="64">
        <f t="shared" ref="F29:F73" si="1">VLOOKUP($B29,$B$79:$G$123,3,FALSE)/$D$4*$C29*(12+$D$22)/12</f>
        <v>632.43336196363884</v>
      </c>
      <c r="G29" s="64">
        <f t="shared" ref="G29:G73" si="2">VLOOKUP($B29,$B$79:$G$123,3,FALSE)/$H79*$C29-F29/(12+$D$22)*12</f>
        <v>117.497230662927</v>
      </c>
      <c r="H29" s="64">
        <f t="shared" ref="H29:H73" si="3">VLOOKUP($B29,$B$79:$G$123,4,FALSE)/$D$4*$C29*(12+$D$22)/12</f>
        <v>632.43336196363884</v>
      </c>
      <c r="I29" s="64">
        <f>VLOOKUP($B29,$B$79:$G$123,4,FALSE)/$H79*$C29-H29/(12+$D$22)*12</f>
        <v>117.497230662927</v>
      </c>
      <c r="J29" s="64">
        <f t="shared" ref="J29:J73" si="4">VLOOKUP($B29,$B$79:$G$123,5,FALSE)/$D$4*$C29*(12+$D$22)/12</f>
        <v>632.43336196363884</v>
      </c>
      <c r="K29" s="64">
        <f>VLOOKUP($B29,$B$79:$G$123,5,FALSE)/$H79*$C29-J29/(12+$D$22)*12</f>
        <v>117.497230662927</v>
      </c>
      <c r="L29" s="64">
        <f t="shared" ref="L29:L73" si="5">VLOOKUP($B29,$B$79:$G$123,6,FALSE)/$D$4*$C29*(12+$D$22)/12</f>
        <v>632.43336196363884</v>
      </c>
      <c r="M29" s="64">
        <f>VLOOKUP($B29,$B$79:$G$123,6,FALSE)/$H79*$C29-L29/(12+$D$22)*12</f>
        <v>117.497230662927</v>
      </c>
      <c r="N29" s="64" cm="1">
        <f t="array" ref="N29">_xlfn.IFS($D$9="Low",'SS Water_CM'!$H52,$D$9="Medium",'SS Water_CM'!$I52,$D$9="High",'SS Water_CM'!$J52)</f>
        <v>364.63848537600006</v>
      </c>
      <c r="O29" s="64">
        <f t="shared" ref="O29:O73" si="6">IF(B29&gt;=$D$21,0,250*4546.09/1000000*0.98*365)</f>
        <v>406.53409825</v>
      </c>
      <c r="P29" s="64">
        <f>'SS Desalin_Water'!$D$11</f>
        <v>315.45000000000005</v>
      </c>
      <c r="Q29" s="64">
        <f>SUM(N29:P29)</f>
        <v>1086.6225836260001</v>
      </c>
      <c r="R29" s="64">
        <f>'SS NEWater'!$D$12</f>
        <v>247.39999999999998</v>
      </c>
    </row>
    <row r="30" spans="2:18">
      <c r="B30" s="6">
        <v>2022</v>
      </c>
      <c r="C30" s="3" cm="1">
        <f t="array" ref="C30">_xlfn.IFS($D$8="Low",'Pop FCST'!C30,$D$8="Medium",'Pop FCST'!D30,$D$8="High",'Pop FCST'!E30)</f>
        <v>5832787.6786123207</v>
      </c>
      <c r="D30" s="64">
        <f t="shared" si="0"/>
        <v>630.20237905663532</v>
      </c>
      <c r="E30" s="64">
        <f t="shared" ref="E30:E73" si="7">VLOOKUP($B30,$B$79:$G$123,2,FALSE)/$H80*$C30-D30/(12+$D$22)*12</f>
        <v>123.56712497714432</v>
      </c>
      <c r="F30" s="64">
        <f t="shared" si="1"/>
        <v>630.20237905663532</v>
      </c>
      <c r="G30" s="64">
        <f t="shared" si="2"/>
        <v>123.56712497714432</v>
      </c>
      <c r="H30" s="64">
        <f t="shared" si="3"/>
        <v>630.20237905663532</v>
      </c>
      <c r="I30" s="64">
        <f t="shared" ref="I30:I73" si="8">VLOOKUP($B30,$B$79:$G$123,4,FALSE)/$H80*$C30-H30/(12+$D$22)*12</f>
        <v>123.56712497714432</v>
      </c>
      <c r="J30" s="64">
        <f t="shared" si="4"/>
        <v>630.20237905663532</v>
      </c>
      <c r="K30" s="64">
        <f t="shared" ref="K30:K73" si="9">VLOOKUP($B30,$B$79:$G$123,5,FALSE)/$H80*$C30-J30/(12+$D$22)*12</f>
        <v>123.56712497714432</v>
      </c>
      <c r="L30" s="64">
        <f t="shared" si="5"/>
        <v>630.20237905663532</v>
      </c>
      <c r="M30" s="64">
        <f t="shared" ref="M30:M73" si="10">VLOOKUP($B30,$B$79:$G$123,6,FALSE)/$H80*$C30-L30/(12+$D$22)*12</f>
        <v>123.56712497714432</v>
      </c>
      <c r="N30" s="64" cm="1">
        <f t="array" ref="N30">_xlfn.IFS($D$9="Low",'SS Water_CM'!$H53,$D$9="Medium",'SS Water_CM'!$I53,$D$9="High",'SS Water_CM'!$J53)</f>
        <v>277.11278971200005</v>
      </c>
      <c r="O30" s="64">
        <f t="shared" si="6"/>
        <v>406.53409825</v>
      </c>
      <c r="P30" s="64">
        <f>'SS Desalin_Water'!$D$11</f>
        <v>315.45000000000005</v>
      </c>
      <c r="Q30" s="64">
        <f t="shared" ref="Q30:Q73" si="11">SUM(N30:P30)</f>
        <v>999.0968879620001</v>
      </c>
      <c r="R30" s="64">
        <f>'SS NEWater'!$D$12</f>
        <v>247.39999999999998</v>
      </c>
    </row>
    <row r="31" spans="2:18">
      <c r="B31" s="6">
        <v>2023</v>
      </c>
      <c r="C31" s="3" cm="1">
        <f t="array" ref="C31">_xlfn.IFS($D$8="Low",'Pop FCST'!C31,$D$8="Medium",'Pop FCST'!D31,$D$8="High",'Pop FCST'!E31)</f>
        <v>5907116.8649697751</v>
      </c>
      <c r="D31" s="64">
        <f t="shared" si="0"/>
        <v>627.76963623123618</v>
      </c>
      <c r="E31" s="64">
        <f t="shared" si="7"/>
        <v>129.67819605592661</v>
      </c>
      <c r="F31" s="64">
        <f t="shared" si="1"/>
        <v>627.76963623123618</v>
      </c>
      <c r="G31" s="64">
        <f t="shared" si="2"/>
        <v>129.67819605592661</v>
      </c>
      <c r="H31" s="64">
        <f t="shared" si="3"/>
        <v>627.76963623123618</v>
      </c>
      <c r="I31" s="64">
        <f t="shared" si="8"/>
        <v>129.67819605592661</v>
      </c>
      <c r="J31" s="64">
        <f t="shared" si="4"/>
        <v>627.76963623123618</v>
      </c>
      <c r="K31" s="64">
        <f t="shared" si="9"/>
        <v>129.67819605592661</v>
      </c>
      <c r="L31" s="64">
        <f t="shared" si="5"/>
        <v>627.76963623123618</v>
      </c>
      <c r="M31" s="64">
        <f t="shared" si="10"/>
        <v>129.67819605592661</v>
      </c>
      <c r="N31" s="64" cm="1">
        <f t="array" ref="N31">_xlfn.IFS($D$9="Low",'SS Water_CM'!$H54,$D$9="Medium",'SS Water_CM'!$I54,$D$9="High",'SS Water_CM'!$J54)</f>
        <v>279.76458674273681</v>
      </c>
      <c r="O31" s="64">
        <f t="shared" si="6"/>
        <v>406.53409825</v>
      </c>
      <c r="P31" s="64">
        <f>'SS Desalin_Water'!$D$11</f>
        <v>315.45000000000005</v>
      </c>
      <c r="Q31" s="64">
        <f t="shared" si="11"/>
        <v>1001.7486849927368</v>
      </c>
      <c r="R31" s="64">
        <f>'SS NEWater'!$D$12</f>
        <v>247.39999999999998</v>
      </c>
    </row>
    <row r="32" spans="2:18">
      <c r="B32" s="6">
        <v>2024</v>
      </c>
      <c r="C32" s="3" cm="1">
        <f t="array" ref="C32">_xlfn.IFS($D$8="Low",'Pop FCST'!C32,$D$8="Medium",'Pop FCST'!D32,$D$8="High",'Pop FCST'!E32)</f>
        <v>5982010.9531435454</v>
      </c>
      <c r="D32" s="64">
        <f t="shared" si="0"/>
        <v>625.13259946811775</v>
      </c>
      <c r="E32" s="64">
        <f t="shared" si="7"/>
        <v>135.82591504601783</v>
      </c>
      <c r="F32" s="64">
        <f t="shared" si="1"/>
        <v>625.13259946811775</v>
      </c>
      <c r="G32" s="64">
        <f t="shared" si="2"/>
        <v>135.82591504601783</v>
      </c>
      <c r="H32" s="64">
        <f t="shared" si="3"/>
        <v>625.13259946811775</v>
      </c>
      <c r="I32" s="64">
        <f t="shared" si="8"/>
        <v>135.82591504601783</v>
      </c>
      <c r="J32" s="64">
        <f t="shared" si="4"/>
        <v>625.13259946811775</v>
      </c>
      <c r="K32" s="64">
        <f t="shared" si="9"/>
        <v>135.82591504601783</v>
      </c>
      <c r="L32" s="64">
        <f t="shared" si="5"/>
        <v>625.13259946811775</v>
      </c>
      <c r="M32" s="64">
        <f t="shared" si="10"/>
        <v>135.82591504601783</v>
      </c>
      <c r="N32" s="64" cm="1">
        <f t="array" ref="N32">_xlfn.IFS($D$9="Low",'SS Water_CM'!$H55,$D$9="Medium",'SS Water_CM'!$I55,$D$9="High",'SS Water_CM'!$J55)</f>
        <v>282.41638377347368</v>
      </c>
      <c r="O32" s="64">
        <f t="shared" si="6"/>
        <v>406.53409825</v>
      </c>
      <c r="P32" s="64">
        <f>'SS Desalin_Water'!$D$11</f>
        <v>315.45000000000005</v>
      </c>
      <c r="Q32" s="64">
        <f t="shared" si="11"/>
        <v>1004.4004820234737</v>
      </c>
      <c r="R32" s="64">
        <f>'SS NEWater'!$D$12</f>
        <v>247.39999999999998</v>
      </c>
    </row>
    <row r="33" spans="2:18">
      <c r="B33" s="6">
        <v>2025</v>
      </c>
      <c r="C33" s="3" cm="1">
        <f t="array" ref="C33">_xlfn.IFS($D$8="Low",'Pop FCST'!C33,$D$8="Medium",'Pop FCST'!D33,$D$8="High",'Pop FCST'!E33)</f>
        <v>6057474.2363874363</v>
      </c>
      <c r="D33" s="64">
        <f t="shared" si="0"/>
        <v>622.28870788451525</v>
      </c>
      <c r="E33" s="64">
        <f t="shared" si="7"/>
        <v>142.00547445989025</v>
      </c>
      <c r="F33" s="64">
        <f t="shared" si="1"/>
        <v>622.28870788451525</v>
      </c>
      <c r="G33" s="64">
        <f t="shared" si="2"/>
        <v>142.00547445989025</v>
      </c>
      <c r="H33" s="64">
        <f t="shared" si="3"/>
        <v>622.28870788451525</v>
      </c>
      <c r="I33" s="64">
        <f t="shared" si="8"/>
        <v>142.00547445989025</v>
      </c>
      <c r="J33" s="64">
        <f t="shared" si="4"/>
        <v>622.28870788451525</v>
      </c>
      <c r="K33" s="64">
        <f t="shared" si="9"/>
        <v>142.00547445989025</v>
      </c>
      <c r="L33" s="64">
        <f t="shared" si="5"/>
        <v>622.28870788451525</v>
      </c>
      <c r="M33" s="64">
        <f t="shared" si="10"/>
        <v>142.00547445989025</v>
      </c>
      <c r="N33" s="64" cm="1">
        <f t="array" ref="N33">_xlfn.IFS($D$9="Low",'SS Water_CM'!$H56,$D$9="Medium",'SS Water_CM'!$I56,$D$9="High",'SS Water_CM'!$J56)</f>
        <v>285.06818080421044</v>
      </c>
      <c r="O33" s="64">
        <f t="shared" si="6"/>
        <v>406.53409825</v>
      </c>
      <c r="P33" s="64">
        <f>'SS Desalin_Water'!$D$11</f>
        <v>315.45000000000005</v>
      </c>
      <c r="Q33" s="64">
        <f t="shared" si="11"/>
        <v>1007.0522790542104</v>
      </c>
      <c r="R33" s="64">
        <f>'SS NEWater'!$D$12</f>
        <v>247.39999999999998</v>
      </c>
    </row>
    <row r="34" spans="2:18">
      <c r="B34" s="6">
        <v>2026</v>
      </c>
      <c r="C34" s="3" cm="1">
        <f t="array" ref="C34">_xlfn.IFS($D$8="Low",'Pop FCST'!C34,$D$8="Medium",'Pop FCST'!D34,$D$8="High",'Pop FCST'!E34)</f>
        <v>6133511.0405839812</v>
      </c>
      <c r="D34" s="64">
        <f t="shared" si="0"/>
        <v>619.23537347226409</v>
      </c>
      <c r="E34" s="64">
        <f t="shared" si="7"/>
        <v>148.21177262103936</v>
      </c>
      <c r="F34" s="64">
        <f t="shared" si="1"/>
        <v>619.23537347226409</v>
      </c>
      <c r="G34" s="64">
        <f t="shared" si="2"/>
        <v>148.21177262103936</v>
      </c>
      <c r="H34" s="64">
        <f t="shared" si="3"/>
        <v>619.23537347226409</v>
      </c>
      <c r="I34" s="64">
        <f t="shared" si="8"/>
        <v>148.21177262103936</v>
      </c>
      <c r="J34" s="64">
        <f t="shared" si="4"/>
        <v>619.23537347226409</v>
      </c>
      <c r="K34" s="64">
        <f t="shared" si="9"/>
        <v>148.21177262103936</v>
      </c>
      <c r="L34" s="64">
        <f t="shared" si="5"/>
        <v>619.23537347226409</v>
      </c>
      <c r="M34" s="64">
        <f t="shared" si="10"/>
        <v>148.21177262103936</v>
      </c>
      <c r="N34" s="64" cm="1">
        <f t="array" ref="N34">_xlfn.IFS($D$9="Low",'SS Water_CM'!$H57,$D$9="Medium",'SS Water_CM'!$I57,$D$9="High",'SS Water_CM'!$J57)</f>
        <v>287.71997783494726</v>
      </c>
      <c r="O34" s="64">
        <f t="shared" si="6"/>
        <v>406.53409825</v>
      </c>
      <c r="P34" s="64">
        <f>'SS Desalin_Water'!$D$11</f>
        <v>315.45000000000005</v>
      </c>
      <c r="Q34" s="64">
        <f t="shared" si="11"/>
        <v>1009.7040760849472</v>
      </c>
      <c r="R34" s="64">
        <f>'SS NEWater'!$D$12</f>
        <v>247.39999999999998</v>
      </c>
    </row>
    <row r="35" spans="2:18">
      <c r="B35" s="6">
        <v>2027</v>
      </c>
      <c r="C35" s="3" cm="1">
        <f t="array" ref="C35">_xlfn.IFS($D$8="Low",'Pop FCST'!C35,$D$8="Medium",'Pop FCST'!D35,$D$8="High",'Pop FCST'!E35)</f>
        <v>6210125.7244924195</v>
      </c>
      <c r="D35" s="64">
        <f t="shared" si="0"/>
        <v>615.96998083340975</v>
      </c>
      <c r="E35" s="64">
        <f t="shared" si="7"/>
        <v>154.43939712615213</v>
      </c>
      <c r="F35" s="64">
        <f t="shared" si="1"/>
        <v>615.96998083340975</v>
      </c>
      <c r="G35" s="64">
        <f t="shared" si="2"/>
        <v>154.43939712615213</v>
      </c>
      <c r="H35" s="64">
        <f t="shared" si="3"/>
        <v>615.96998083340975</v>
      </c>
      <c r="I35" s="64">
        <f t="shared" si="8"/>
        <v>154.43939712615213</v>
      </c>
      <c r="J35" s="64">
        <f t="shared" si="4"/>
        <v>615.96998083340975</v>
      </c>
      <c r="K35" s="64">
        <f t="shared" si="9"/>
        <v>154.43939712615213</v>
      </c>
      <c r="L35" s="64">
        <f t="shared" si="5"/>
        <v>615.96998083340975</v>
      </c>
      <c r="M35" s="64">
        <f t="shared" si="10"/>
        <v>154.43939712615213</v>
      </c>
      <c r="N35" s="64" cm="1">
        <f t="array" ref="N35">_xlfn.IFS($D$9="Low",'SS Water_CM'!$H58,$D$9="Medium",'SS Water_CM'!$I58,$D$9="High",'SS Water_CM'!$J58)</f>
        <v>290.37177486568419</v>
      </c>
      <c r="O35" s="64">
        <f t="shared" si="6"/>
        <v>406.53409825</v>
      </c>
      <c r="P35" s="64">
        <f>'SS Desalin_Water'!$D$11</f>
        <v>315.45000000000005</v>
      </c>
      <c r="Q35" s="64">
        <f t="shared" si="11"/>
        <v>1012.3558731156843</v>
      </c>
      <c r="R35" s="64">
        <f>'SS NEWater'!$D$12</f>
        <v>247.39999999999998</v>
      </c>
    </row>
    <row r="36" spans="2:18">
      <c r="B36" s="6">
        <v>2028</v>
      </c>
      <c r="C36" s="3" cm="1">
        <f t="array" ref="C36">_xlfn.IFS($D$8="Low",'Pop FCST'!C36,$D$8="Medium",'Pop FCST'!D36,$D$8="High",'Pop FCST'!E36)</f>
        <v>6287322.6799985627</v>
      </c>
      <c r="D36" s="64">
        <f t="shared" si="0"/>
        <v>612.48988691336649</v>
      </c>
      <c r="E36" s="64">
        <f t="shared" si="7"/>
        <v>160.68260725182063</v>
      </c>
      <c r="F36" s="64">
        <f t="shared" si="1"/>
        <v>612.48988691336649</v>
      </c>
      <c r="G36" s="64">
        <f t="shared" si="2"/>
        <v>160.68260725182063</v>
      </c>
      <c r="H36" s="64">
        <f t="shared" si="3"/>
        <v>612.48988691336649</v>
      </c>
      <c r="I36" s="64">
        <f t="shared" si="8"/>
        <v>160.68260725182063</v>
      </c>
      <c r="J36" s="64">
        <f t="shared" si="4"/>
        <v>612.48988691336649</v>
      </c>
      <c r="K36" s="64">
        <f t="shared" si="9"/>
        <v>160.68260725182063</v>
      </c>
      <c r="L36" s="64">
        <f t="shared" si="5"/>
        <v>612.48988691336649</v>
      </c>
      <c r="M36" s="64">
        <f t="shared" si="10"/>
        <v>160.68260725182063</v>
      </c>
      <c r="N36" s="64" cm="1">
        <f t="array" ref="N36">_xlfn.IFS($D$9="Low",'SS Water_CM'!$H59,$D$9="Medium",'SS Water_CM'!$I59,$D$9="High",'SS Water_CM'!$J59)</f>
        <v>293.02357189642095</v>
      </c>
      <c r="O36" s="64">
        <f t="shared" si="6"/>
        <v>406.53409825</v>
      </c>
      <c r="P36" s="64">
        <f>'SS Desalin_Water'!$D$11</f>
        <v>315.45000000000005</v>
      </c>
      <c r="Q36" s="64">
        <f t="shared" si="11"/>
        <v>1015.007670146421</v>
      </c>
      <c r="R36" s="64">
        <f>'SS NEWater'!$D$12</f>
        <v>247.39999999999998</v>
      </c>
    </row>
    <row r="37" spans="2:18">
      <c r="B37" s="6">
        <v>2029</v>
      </c>
      <c r="C37" s="3" cm="1">
        <f t="array" ref="C37">_xlfn.IFS($D$8="Low",'Pop FCST'!C37,$D$8="Medium",'Pop FCST'!D37,$D$8="High",'Pop FCST'!E37)</f>
        <v>6365106.3323665522</v>
      </c>
      <c r="D37" s="64">
        <f t="shared" si="0"/>
        <v>608.79242073160242</v>
      </c>
      <c r="E37" s="64">
        <f t="shared" si="7"/>
        <v>166.93531522734122</v>
      </c>
      <c r="F37" s="64">
        <f t="shared" si="1"/>
        <v>608.79242073160242</v>
      </c>
      <c r="G37" s="64">
        <f t="shared" si="2"/>
        <v>166.93531522734122</v>
      </c>
      <c r="H37" s="64">
        <f t="shared" si="3"/>
        <v>608.79242073160242</v>
      </c>
      <c r="I37" s="64">
        <f t="shared" si="8"/>
        <v>166.93531522734122</v>
      </c>
      <c r="J37" s="64">
        <f t="shared" si="4"/>
        <v>608.79242073160242</v>
      </c>
      <c r="K37" s="64">
        <f t="shared" si="9"/>
        <v>166.93531522734122</v>
      </c>
      <c r="L37" s="64">
        <f t="shared" si="5"/>
        <v>608.79242073160242</v>
      </c>
      <c r="M37" s="64">
        <f t="shared" si="10"/>
        <v>166.93531522734122</v>
      </c>
      <c r="N37" s="64" cm="1">
        <f t="array" ref="N37">_xlfn.IFS($D$9="Low",'SS Water_CM'!$H60,$D$9="Medium",'SS Water_CM'!$I60,$D$9="High",'SS Water_CM'!$J60)</f>
        <v>295.67536892715771</v>
      </c>
      <c r="O37" s="64">
        <f t="shared" si="6"/>
        <v>406.53409825</v>
      </c>
      <c r="P37" s="64">
        <f>'SS Desalin_Water'!$D$11</f>
        <v>315.45000000000005</v>
      </c>
      <c r="Q37" s="64">
        <f t="shared" si="11"/>
        <v>1017.6594671771577</v>
      </c>
      <c r="R37" s="64">
        <f>'SS NEWater'!$D$12</f>
        <v>247.39999999999998</v>
      </c>
    </row>
    <row r="38" spans="2:18">
      <c r="B38" s="6">
        <v>2030</v>
      </c>
      <c r="C38" s="3" cm="1">
        <f t="array" ref="C38">_xlfn.IFS($D$8="Low",'Pop FCST'!C38,$D$8="Medium",'Pop FCST'!D38,$D$8="High",'Pop FCST'!E38)</f>
        <v>6443481.140492538</v>
      </c>
      <c r="D38" s="64">
        <f t="shared" si="0"/>
        <v>604.87488310982735</v>
      </c>
      <c r="E38" s="64">
        <f t="shared" si="7"/>
        <v>173.1910662884145</v>
      </c>
      <c r="F38" s="64">
        <f t="shared" si="1"/>
        <v>604.87488310982735</v>
      </c>
      <c r="G38" s="64">
        <f t="shared" si="2"/>
        <v>173.1910662884145</v>
      </c>
      <c r="H38" s="64">
        <f t="shared" si="3"/>
        <v>604.87488310982735</v>
      </c>
      <c r="I38" s="64">
        <f t="shared" si="8"/>
        <v>173.1910662884145</v>
      </c>
      <c r="J38" s="64">
        <f t="shared" si="4"/>
        <v>604.87488310982735</v>
      </c>
      <c r="K38" s="64">
        <f t="shared" si="9"/>
        <v>173.1910662884145</v>
      </c>
      <c r="L38" s="64">
        <f t="shared" si="5"/>
        <v>604.87488310982735</v>
      </c>
      <c r="M38" s="64">
        <f t="shared" si="10"/>
        <v>173.1910662884145</v>
      </c>
      <c r="N38" s="64" cm="1">
        <f t="array" ref="N38">_xlfn.IFS($D$9="Low",'SS Water_CM'!$H61,$D$9="Medium",'SS Water_CM'!$I61,$D$9="High",'SS Water_CM'!$J61)</f>
        <v>298.32716595789458</v>
      </c>
      <c r="O38" s="64">
        <f t="shared" si="6"/>
        <v>406.53409825</v>
      </c>
      <c r="P38" s="64">
        <f>'SS Desalin_Water'!$D$11</f>
        <v>315.45000000000005</v>
      </c>
      <c r="Q38" s="64">
        <f t="shared" si="11"/>
        <v>1020.3112642078946</v>
      </c>
      <c r="R38" s="64">
        <f>'SS NEWater'!$D$12</f>
        <v>247.39999999999998</v>
      </c>
    </row>
    <row r="39" spans="2:18">
      <c r="B39" s="6">
        <v>2031</v>
      </c>
      <c r="C39" s="3" cm="1">
        <f t="array" ref="C39">_xlfn.IFS($D$8="Low",'Pop FCST'!C39,$D$8="Medium",'Pop FCST'!D39,$D$8="High",'Pop FCST'!E39)</f>
        <v>6522451.5971602816</v>
      </c>
      <c r="D39" s="64">
        <f t="shared" si="0"/>
        <v>610.7181804387584</v>
      </c>
      <c r="E39" s="64">
        <f t="shared" si="7"/>
        <v>182.42518887558731</v>
      </c>
      <c r="F39" s="64">
        <f t="shared" si="1"/>
        <v>610.7181804387584</v>
      </c>
      <c r="G39" s="64">
        <f t="shared" si="2"/>
        <v>182.42518887558731</v>
      </c>
      <c r="H39" s="64">
        <f t="shared" si="3"/>
        <v>610.7181804387584</v>
      </c>
      <c r="I39" s="64">
        <f t="shared" si="8"/>
        <v>182.42518887558731</v>
      </c>
      <c r="J39" s="64">
        <f t="shared" si="4"/>
        <v>610.7181804387584</v>
      </c>
      <c r="K39" s="64">
        <f t="shared" si="9"/>
        <v>182.42518887558731</v>
      </c>
      <c r="L39" s="64">
        <f t="shared" si="5"/>
        <v>610.7181804387584</v>
      </c>
      <c r="M39" s="64">
        <f t="shared" si="10"/>
        <v>182.42518887558731</v>
      </c>
      <c r="N39" s="64" cm="1">
        <f t="array" ref="N39">_xlfn.IFS($D$9="Low",'SS Water_CM'!$H62,$D$9="Medium",'SS Water_CM'!$I62,$D$9="High",'SS Water_CM'!$J62)</f>
        <v>300.97896298863145</v>
      </c>
      <c r="O39" s="64">
        <f t="shared" si="6"/>
        <v>406.53409825</v>
      </c>
      <c r="P39" s="64">
        <f>'SS Desalin_Water'!$D$11</f>
        <v>315.45000000000005</v>
      </c>
      <c r="Q39" s="64">
        <f t="shared" si="11"/>
        <v>1022.9630612386316</v>
      </c>
      <c r="R39" s="64">
        <f>'SS NEWater'!$D$12</f>
        <v>247.39999999999998</v>
      </c>
    </row>
    <row r="40" spans="2:18">
      <c r="B40" s="6">
        <v>2032</v>
      </c>
      <c r="C40" s="3" cm="1">
        <f t="array" ref="C40">_xlfn.IFS($D$8="Low",'Pop FCST'!C40,$D$8="Medium",'Pop FCST'!D40,$D$8="High",'Pop FCST'!E40)</f>
        <v>6602022.2292986996</v>
      </c>
      <c r="D40" s="64">
        <f t="shared" si="0"/>
        <v>616.57951291557879</v>
      </c>
      <c r="E40" s="64">
        <f t="shared" si="7"/>
        <v>191.97671920774599</v>
      </c>
      <c r="F40" s="64">
        <f t="shared" si="1"/>
        <v>616.57951291557879</v>
      </c>
      <c r="G40" s="64">
        <f t="shared" si="2"/>
        <v>191.97671920774599</v>
      </c>
      <c r="H40" s="64">
        <f t="shared" si="3"/>
        <v>616.57951291557879</v>
      </c>
      <c r="I40" s="64">
        <f t="shared" si="8"/>
        <v>191.97671920774599</v>
      </c>
      <c r="J40" s="64">
        <f t="shared" si="4"/>
        <v>616.57951291557879</v>
      </c>
      <c r="K40" s="64">
        <f t="shared" si="9"/>
        <v>191.97671920774599</v>
      </c>
      <c r="L40" s="64">
        <f t="shared" si="5"/>
        <v>616.57951291557879</v>
      </c>
      <c r="M40" s="64">
        <f t="shared" si="10"/>
        <v>191.97671920774599</v>
      </c>
      <c r="N40" s="64" cm="1">
        <f t="array" ref="N40">_xlfn.IFS($D$9="Low",'SS Water_CM'!$H63,$D$9="Medium",'SS Water_CM'!$I63,$D$9="High",'SS Water_CM'!$J63)</f>
        <v>303.63076001936827</v>
      </c>
      <c r="O40" s="64">
        <f t="shared" si="6"/>
        <v>406.53409825</v>
      </c>
      <c r="P40" s="64">
        <f>'SS Desalin_Water'!$D$11</f>
        <v>315.45000000000005</v>
      </c>
      <c r="Q40" s="64">
        <f t="shared" si="11"/>
        <v>1025.6148582693684</v>
      </c>
      <c r="R40" s="64">
        <f>'SS NEWater'!$D$12</f>
        <v>247.39999999999998</v>
      </c>
    </row>
    <row r="41" spans="2:18">
      <c r="B41" s="6">
        <v>2033</v>
      </c>
      <c r="C41" s="3" cm="1">
        <f t="array" ref="C41">_xlfn.IFS($D$8="Low",'Pop FCST'!C41,$D$8="Medium",'Pop FCST'!D41,$D$8="High",'Pop FCST'!E41)</f>
        <v>6682197.5982413702</v>
      </c>
      <c r="D41" s="64">
        <f t="shared" si="0"/>
        <v>622.45887204582516</v>
      </c>
      <c r="E41" s="64">
        <f t="shared" si="7"/>
        <v>201.85670588242294</v>
      </c>
      <c r="F41" s="64">
        <f t="shared" si="1"/>
        <v>622.45887204582516</v>
      </c>
      <c r="G41" s="64">
        <f t="shared" si="2"/>
        <v>201.85670588242294</v>
      </c>
      <c r="H41" s="64">
        <f t="shared" si="3"/>
        <v>622.45887204582516</v>
      </c>
      <c r="I41" s="64">
        <f t="shared" si="8"/>
        <v>201.85670588242294</v>
      </c>
      <c r="J41" s="64">
        <f t="shared" si="4"/>
        <v>622.45887204582516</v>
      </c>
      <c r="K41" s="64">
        <f t="shared" si="9"/>
        <v>201.85670588242294</v>
      </c>
      <c r="L41" s="64">
        <f t="shared" si="5"/>
        <v>622.45887204582516</v>
      </c>
      <c r="M41" s="64">
        <f t="shared" si="10"/>
        <v>201.85670588242294</v>
      </c>
      <c r="N41" s="64" cm="1">
        <f t="array" ref="N41">_xlfn.IFS($D$9="Low",'SS Water_CM'!$H64,$D$9="Medium",'SS Water_CM'!$I64,$D$9="High",'SS Water_CM'!$J64)</f>
        <v>306.28255705010503</v>
      </c>
      <c r="O41" s="64">
        <f t="shared" si="6"/>
        <v>406.53409825</v>
      </c>
      <c r="P41" s="64">
        <f>'SS Desalin_Water'!$D$11</f>
        <v>315.45000000000005</v>
      </c>
      <c r="Q41" s="64">
        <f t="shared" si="11"/>
        <v>1028.266655300105</v>
      </c>
      <c r="R41" s="64">
        <f>'SS NEWater'!$D$12</f>
        <v>247.39999999999998</v>
      </c>
    </row>
    <row r="42" spans="2:18">
      <c r="B42" s="6">
        <v>2034</v>
      </c>
      <c r="C42" s="3" cm="1">
        <f t="array" ref="C42">_xlfn.IFS($D$8="Low",'Pop FCST'!C42,$D$8="Medium",'Pop FCST'!D42,$D$8="High",'Pop FCST'!E42)</f>
        <v>6762982.2999880053</v>
      </c>
      <c r="D42" s="64">
        <f t="shared" si="0"/>
        <v>628.35624816420841</v>
      </c>
      <c r="E42" s="64">
        <f t="shared" si="7"/>
        <v>212.07669134218656</v>
      </c>
      <c r="F42" s="64">
        <f t="shared" si="1"/>
        <v>628.35624816420841</v>
      </c>
      <c r="G42" s="64">
        <f t="shared" si="2"/>
        <v>212.07669134218656</v>
      </c>
      <c r="H42" s="64">
        <f t="shared" si="3"/>
        <v>628.35624816420841</v>
      </c>
      <c r="I42" s="64">
        <f t="shared" si="8"/>
        <v>212.07669134218656</v>
      </c>
      <c r="J42" s="64">
        <f t="shared" si="4"/>
        <v>628.35624816420841</v>
      </c>
      <c r="K42" s="64">
        <f t="shared" si="9"/>
        <v>212.07669134218656</v>
      </c>
      <c r="L42" s="64">
        <f t="shared" si="5"/>
        <v>628.35624816420841</v>
      </c>
      <c r="M42" s="64">
        <f t="shared" si="10"/>
        <v>212.07669134218656</v>
      </c>
      <c r="N42" s="64" cm="1">
        <f t="array" ref="N42">_xlfn.IFS($D$9="Low",'SS Water_CM'!$H65,$D$9="Medium",'SS Water_CM'!$I65,$D$9="High",'SS Water_CM'!$J65)</f>
        <v>308.93435408084179</v>
      </c>
      <c r="O42" s="64">
        <f t="shared" si="6"/>
        <v>406.53409825</v>
      </c>
      <c r="P42" s="64">
        <f>'SS Desalin_Water'!$D$11</f>
        <v>315.45000000000005</v>
      </c>
      <c r="Q42" s="64">
        <f t="shared" si="11"/>
        <v>1030.9184523308418</v>
      </c>
      <c r="R42" s="64">
        <f>'SS NEWater'!$D$12</f>
        <v>247.39999999999998</v>
      </c>
    </row>
    <row r="43" spans="2:18">
      <c r="B43" s="6">
        <v>2035</v>
      </c>
      <c r="C43" s="3" cm="1">
        <f t="array" ref="C43">_xlfn.IFS($D$8="Low",'Pop FCST'!C43,$D$8="Medium",'Pop FCST'!D43,$D$8="High",'Pop FCST'!E43)</f>
        <v>6844380.9654679149</v>
      </c>
      <c r="D43" s="64">
        <f t="shared" si="0"/>
        <v>634.27163041730705</v>
      </c>
      <c r="E43" s="64">
        <f t="shared" si="7"/>
        <v>222.6487397568601</v>
      </c>
      <c r="F43" s="64">
        <f t="shared" si="1"/>
        <v>634.27163041730705</v>
      </c>
      <c r="G43" s="64">
        <f t="shared" si="2"/>
        <v>222.6487397568601</v>
      </c>
      <c r="H43" s="64">
        <f t="shared" si="3"/>
        <v>634.27163041730705</v>
      </c>
      <c r="I43" s="64">
        <f t="shared" si="8"/>
        <v>222.6487397568601</v>
      </c>
      <c r="J43" s="64">
        <f t="shared" si="4"/>
        <v>634.27163041730705</v>
      </c>
      <c r="K43" s="64">
        <f t="shared" si="9"/>
        <v>222.6487397568601</v>
      </c>
      <c r="L43" s="64">
        <f t="shared" si="5"/>
        <v>634.27163041730705</v>
      </c>
      <c r="M43" s="64">
        <f t="shared" si="10"/>
        <v>222.6487397568601</v>
      </c>
      <c r="N43" s="64" cm="1">
        <f t="array" ref="N43">_xlfn.IFS($D$9="Low",'SS Water_CM'!$H66,$D$9="Medium",'SS Water_CM'!$I66,$D$9="High",'SS Water_CM'!$J66)</f>
        <v>311.58615111157866</v>
      </c>
      <c r="O43" s="64">
        <f t="shared" si="6"/>
        <v>406.53409825</v>
      </c>
      <c r="P43" s="64">
        <f>'SS Desalin_Water'!$D$11</f>
        <v>315.45000000000005</v>
      </c>
      <c r="Q43" s="64">
        <f t="shared" si="11"/>
        <v>1033.5702493615786</v>
      </c>
      <c r="R43" s="64">
        <f>'SS NEWater'!$D$12</f>
        <v>247.39999999999998</v>
      </c>
    </row>
    <row r="44" spans="2:18">
      <c r="B44" s="6">
        <v>2036</v>
      </c>
      <c r="C44" s="3" cm="1">
        <f t="array" ref="C44">_xlfn.IFS($D$8="Low",'Pop FCST'!C44,$D$8="Medium",'Pop FCST'!D44,$D$8="High",'Pop FCST'!E44)</f>
        <v>6926398.2608054718</v>
      </c>
      <c r="D44" s="64">
        <f t="shared" si="0"/>
        <v>640.20500674606637</v>
      </c>
      <c r="E44" s="64">
        <f t="shared" si="7"/>
        <v>233.58546681963708</v>
      </c>
      <c r="F44" s="64">
        <f t="shared" si="1"/>
        <v>640.20500674606637</v>
      </c>
      <c r="G44" s="64">
        <f t="shared" si="2"/>
        <v>233.58546681963708</v>
      </c>
      <c r="H44" s="64">
        <f t="shared" si="3"/>
        <v>640.20500674606637</v>
      </c>
      <c r="I44" s="64">
        <f t="shared" si="8"/>
        <v>233.58546681963708</v>
      </c>
      <c r="J44" s="64">
        <f t="shared" si="4"/>
        <v>640.20500674606637</v>
      </c>
      <c r="K44" s="64">
        <f t="shared" si="9"/>
        <v>233.58546681963708</v>
      </c>
      <c r="L44" s="64">
        <f t="shared" si="5"/>
        <v>640.20500674606637</v>
      </c>
      <c r="M44" s="64">
        <f t="shared" si="10"/>
        <v>233.58546681963708</v>
      </c>
      <c r="N44" s="64" cm="1">
        <f t="array" ref="N44">_xlfn.IFS($D$9="Low",'SS Water_CM'!$H67,$D$9="Medium",'SS Water_CM'!$I67,$D$9="High",'SS Water_CM'!$J67)</f>
        <v>314.23794814231559</v>
      </c>
      <c r="O44" s="64">
        <f t="shared" si="6"/>
        <v>406.53409825</v>
      </c>
      <c r="P44" s="64">
        <f>'SS Desalin_Water'!$D$11</f>
        <v>315.45000000000005</v>
      </c>
      <c r="Q44" s="64">
        <f t="shared" si="11"/>
        <v>1036.2220463923156</v>
      </c>
      <c r="R44" s="64">
        <f>'SS NEWater'!$D$12</f>
        <v>247.39999999999998</v>
      </c>
    </row>
    <row r="45" spans="2:18">
      <c r="B45" s="6">
        <v>2037</v>
      </c>
      <c r="C45" s="3" cm="1">
        <f t="array" ref="C45">_xlfn.IFS($D$8="Low",'Pop FCST'!C45,$D$8="Medium",'Pop FCST'!D45,$D$8="High",'Pop FCST'!E45)</f>
        <v>7009038.8875875939</v>
      </c>
      <c r="D45" s="64">
        <f t="shared" si="0"/>
        <v>646.15636386810013</v>
      </c>
      <c r="E45" s="64">
        <f t="shared" si="7"/>
        <v>244.9000716122157</v>
      </c>
      <c r="F45" s="64">
        <f t="shared" si="1"/>
        <v>646.15636386810013</v>
      </c>
      <c r="G45" s="64">
        <f t="shared" si="2"/>
        <v>244.9000716122157</v>
      </c>
      <c r="H45" s="64">
        <f t="shared" si="3"/>
        <v>646.15636386810013</v>
      </c>
      <c r="I45" s="64">
        <f t="shared" si="8"/>
        <v>244.9000716122157</v>
      </c>
      <c r="J45" s="64">
        <f t="shared" si="4"/>
        <v>646.15636386810013</v>
      </c>
      <c r="K45" s="64">
        <f t="shared" si="9"/>
        <v>244.9000716122157</v>
      </c>
      <c r="L45" s="64">
        <f t="shared" si="5"/>
        <v>646.15636386810013</v>
      </c>
      <c r="M45" s="64">
        <f t="shared" si="10"/>
        <v>244.9000716122157</v>
      </c>
      <c r="N45" s="64" cm="1">
        <f t="array" ref="N45">_xlfn.IFS($D$9="Low",'SS Water_CM'!$H68,$D$9="Medium",'SS Water_CM'!$I68,$D$9="High",'SS Water_CM'!$J68)</f>
        <v>316.8897451730524</v>
      </c>
      <c r="O45" s="64">
        <f t="shared" si="6"/>
        <v>406.53409825</v>
      </c>
      <c r="P45" s="64">
        <f>'SS Desalin_Water'!$D$11</f>
        <v>315.45000000000005</v>
      </c>
      <c r="Q45" s="64">
        <f t="shared" si="11"/>
        <v>1038.8738434230524</v>
      </c>
      <c r="R45" s="64">
        <f>'SS NEWater'!$D$12</f>
        <v>247.39999999999998</v>
      </c>
    </row>
    <row r="46" spans="2:18">
      <c r="B46" s="6">
        <v>2038</v>
      </c>
      <c r="C46" s="3" cm="1">
        <f t="array" ref="C46">_xlfn.IFS($D$8="Low",'Pop FCST'!C46,$D$8="Medium",'Pop FCST'!D46,$D$8="High",'Pop FCST'!E46)</f>
        <v>7092307.5831332598</v>
      </c>
      <c r="D46" s="64">
        <f t="shared" si="0"/>
        <v>652.12568725979133</v>
      </c>
      <c r="E46" s="64">
        <f t="shared" si="7"/>
        <v>256.60637070860889</v>
      </c>
      <c r="F46" s="64">
        <f t="shared" si="1"/>
        <v>652.12568725979133</v>
      </c>
      <c r="G46" s="64">
        <f t="shared" si="2"/>
        <v>256.60637070860889</v>
      </c>
      <c r="H46" s="64">
        <f t="shared" si="3"/>
        <v>652.12568725979133</v>
      </c>
      <c r="I46" s="64">
        <f t="shared" si="8"/>
        <v>256.60637070860889</v>
      </c>
      <c r="J46" s="64">
        <f t="shared" si="4"/>
        <v>652.12568725979133</v>
      </c>
      <c r="K46" s="64">
        <f t="shared" si="9"/>
        <v>256.60637070860889</v>
      </c>
      <c r="L46" s="64">
        <f t="shared" si="5"/>
        <v>652.12568725979133</v>
      </c>
      <c r="M46" s="64">
        <f t="shared" si="10"/>
        <v>256.60637070860889</v>
      </c>
      <c r="N46" s="64" cm="1">
        <f t="array" ref="N46">_xlfn.IFS($D$9="Low",'SS Water_CM'!$H69,$D$9="Medium",'SS Water_CM'!$I69,$D$9="High",'SS Water_CM'!$J69)</f>
        <v>319.54154220378928</v>
      </c>
      <c r="O46" s="64">
        <f t="shared" si="6"/>
        <v>406.53409825</v>
      </c>
      <c r="P46" s="64">
        <f>'SS Desalin_Water'!$D$11</f>
        <v>315.45000000000005</v>
      </c>
      <c r="Q46" s="64">
        <f t="shared" si="11"/>
        <v>1041.5256404537893</v>
      </c>
      <c r="R46" s="64">
        <f>'SS NEWater'!$D$12</f>
        <v>247.39999999999998</v>
      </c>
    </row>
    <row r="47" spans="2:18">
      <c r="B47" s="6">
        <v>2039</v>
      </c>
      <c r="C47" s="3" cm="1">
        <f t="array" ref="C47">_xlfn.IFS($D$8="Low",'Pop FCST'!C47,$D$8="Medium",'Pop FCST'!D47,$D$8="High",'Pop FCST'!E47)</f>
        <v>7176209.1207650732</v>
      </c>
      <c r="D47" s="64">
        <f t="shared" si="0"/>
        <v>658.11296113819435</v>
      </c>
      <c r="E47" s="64">
        <f t="shared" si="7"/>
        <v>268.71883470337229</v>
      </c>
      <c r="F47" s="64">
        <f t="shared" si="1"/>
        <v>658.11296113819435</v>
      </c>
      <c r="G47" s="64">
        <f t="shared" si="2"/>
        <v>268.71883470337229</v>
      </c>
      <c r="H47" s="64">
        <f t="shared" si="3"/>
        <v>658.11296113819435</v>
      </c>
      <c r="I47" s="64">
        <f t="shared" si="8"/>
        <v>268.71883470337229</v>
      </c>
      <c r="J47" s="64">
        <f t="shared" si="4"/>
        <v>658.11296113819435</v>
      </c>
      <c r="K47" s="64">
        <f t="shared" si="9"/>
        <v>268.71883470337229</v>
      </c>
      <c r="L47" s="64">
        <f t="shared" si="5"/>
        <v>658.11296113819435</v>
      </c>
      <c r="M47" s="64">
        <f t="shared" si="10"/>
        <v>268.71883470337229</v>
      </c>
      <c r="N47" s="64" cm="1">
        <f t="array" ref="N47">_xlfn.IFS($D$9="Low",'SS Water_CM'!$H70,$D$9="Medium",'SS Water_CM'!$I70,$D$9="High",'SS Water_CM'!$J70)</f>
        <v>322.19333923452604</v>
      </c>
      <c r="O47" s="64">
        <f t="shared" si="6"/>
        <v>406.53409825</v>
      </c>
      <c r="P47" s="64">
        <f>'SS Desalin_Water'!$D$11</f>
        <v>315.45000000000005</v>
      </c>
      <c r="Q47" s="64">
        <f t="shared" si="11"/>
        <v>1044.1774374845261</v>
      </c>
      <c r="R47" s="64">
        <f>'SS NEWater'!$D$12</f>
        <v>247.39999999999998</v>
      </c>
    </row>
    <row r="48" spans="2:18">
      <c r="B48" s="6">
        <v>2040</v>
      </c>
      <c r="C48" s="3" cm="1">
        <f t="array" ref="C48">_xlfn.IFS($D$8="Low",'Pop FCST'!C48,$D$8="Medium",'Pop FCST'!D48,$D$8="High",'Pop FCST'!E48)</f>
        <v>7260748.3100828882</v>
      </c>
      <c r="D48" s="64">
        <f t="shared" si="0"/>
        <v>664.11816844272994</v>
      </c>
      <c r="E48" s="64">
        <f t="shared" si="7"/>
        <v>281.2526273678244</v>
      </c>
      <c r="F48" s="64">
        <f t="shared" si="1"/>
        <v>656.14875042141739</v>
      </c>
      <c r="G48" s="64">
        <f t="shared" si="2"/>
        <v>277.87759583941033</v>
      </c>
      <c r="H48" s="64">
        <f t="shared" si="3"/>
        <v>648.17933240010461</v>
      </c>
      <c r="I48" s="64">
        <f t="shared" si="8"/>
        <v>274.50256431099638</v>
      </c>
      <c r="J48" s="64">
        <f t="shared" si="4"/>
        <v>640.20991437879172</v>
      </c>
      <c r="K48" s="64">
        <f t="shared" si="9"/>
        <v>271.12753278258253</v>
      </c>
      <c r="L48" s="64">
        <f t="shared" si="5"/>
        <v>632.24049635747895</v>
      </c>
      <c r="M48" s="64">
        <f t="shared" si="10"/>
        <v>267.75250125416869</v>
      </c>
      <c r="N48" s="64" cm="1">
        <f t="array" ref="N48">_xlfn.IFS($D$9="Low",'SS Water_CM'!$H71,$D$9="Medium",'SS Water_CM'!$I71,$D$9="High",'SS Water_CM'!$J71)</f>
        <v>324.84513626526274</v>
      </c>
      <c r="O48" s="64">
        <f t="shared" si="6"/>
        <v>0</v>
      </c>
      <c r="P48" s="64">
        <f>'SS Desalin_Water'!$D$11</f>
        <v>315.45000000000005</v>
      </c>
      <c r="Q48" s="64">
        <f t="shared" si="11"/>
        <v>640.29513626526273</v>
      </c>
      <c r="R48" s="64">
        <f>'SS NEWater'!$D$12</f>
        <v>247.39999999999998</v>
      </c>
    </row>
    <row r="49" spans="2:18">
      <c r="B49" s="6">
        <v>2041</v>
      </c>
      <c r="C49" s="3" cm="1">
        <f t="array" ref="C49">_xlfn.IFS($D$8="Low",'Pop FCST'!C49,$D$8="Medium",'Pop FCST'!D49,$D$8="High",'Pop FCST'!E49)</f>
        <v>7345929.9972395189</v>
      </c>
      <c r="D49" s="64">
        <f t="shared" si="0"/>
        <v>670.14129081667909</v>
      </c>
      <c r="E49" s="64">
        <f t="shared" si="7"/>
        <v>294.22364765760096</v>
      </c>
      <c r="F49" s="64">
        <f t="shared" si="1"/>
        <v>662.09959532687878</v>
      </c>
      <c r="G49" s="64">
        <f t="shared" si="2"/>
        <v>290.6929638857099</v>
      </c>
      <c r="H49" s="64">
        <f t="shared" si="3"/>
        <v>654.05789983707871</v>
      </c>
      <c r="I49" s="64">
        <f t="shared" si="8"/>
        <v>287.16228011381872</v>
      </c>
      <c r="J49" s="64">
        <f t="shared" si="4"/>
        <v>646.01620434727852</v>
      </c>
      <c r="K49" s="64">
        <f t="shared" si="9"/>
        <v>283.63159634192743</v>
      </c>
      <c r="L49" s="64">
        <f t="shared" si="5"/>
        <v>637.97450885747833</v>
      </c>
      <c r="M49" s="64">
        <f t="shared" si="10"/>
        <v>280.10091257003637</v>
      </c>
      <c r="N49" s="64" cm="1">
        <f t="array" ref="N49">_xlfn.IFS($D$9="Low",'SS Water_CM'!$H72,$D$9="Medium",'SS Water_CM'!$I72,$D$9="High",'SS Water_CM'!$J72)</f>
        <v>327.49693329599961</v>
      </c>
      <c r="O49" s="64">
        <f t="shared" si="6"/>
        <v>0</v>
      </c>
      <c r="P49" s="64">
        <f>'SS Desalin_Water'!$D$11</f>
        <v>315.45000000000005</v>
      </c>
      <c r="Q49" s="64">
        <f t="shared" si="11"/>
        <v>642.94693329599966</v>
      </c>
      <c r="R49" s="64">
        <f>'SS NEWater'!$D$12</f>
        <v>247.39999999999998</v>
      </c>
    </row>
    <row r="50" spans="2:18">
      <c r="B50" s="6">
        <v>2042</v>
      </c>
      <c r="C50" s="3" cm="1">
        <f t="array" ref="C50">_xlfn.IFS($D$8="Low",'Pop FCST'!C50,$D$8="Medium",'Pop FCST'!D50,$D$8="High",'Pop FCST'!E50)</f>
        <v>7431759.0652185399</v>
      </c>
      <c r="D50" s="64">
        <f t="shared" si="0"/>
        <v>676.18230858846471</v>
      </c>
      <c r="E50" s="64">
        <f t="shared" si="7"/>
        <v>307.64857481685283</v>
      </c>
      <c r="F50" s="64">
        <f t="shared" si="1"/>
        <v>668.06812088540312</v>
      </c>
      <c r="G50" s="64">
        <f t="shared" si="2"/>
        <v>303.95679191905049</v>
      </c>
      <c r="H50" s="64">
        <f t="shared" si="3"/>
        <v>659.95393318234164</v>
      </c>
      <c r="I50" s="64">
        <f t="shared" si="8"/>
        <v>300.26500902124826</v>
      </c>
      <c r="J50" s="64">
        <f t="shared" si="4"/>
        <v>651.83974547927994</v>
      </c>
      <c r="K50" s="64">
        <f t="shared" si="9"/>
        <v>296.57322612344615</v>
      </c>
      <c r="L50" s="64">
        <f t="shared" si="5"/>
        <v>643.72555777621847</v>
      </c>
      <c r="M50" s="64">
        <f t="shared" si="10"/>
        <v>292.88144322564392</v>
      </c>
      <c r="N50" s="64" cm="1">
        <f t="array" ref="N50">_xlfn.IFS($D$9="Low",'SS Water_CM'!$H73,$D$9="Medium",'SS Water_CM'!$I73,$D$9="High",'SS Water_CM'!$J73)</f>
        <v>330.14873032673654</v>
      </c>
      <c r="O50" s="64">
        <f t="shared" si="6"/>
        <v>0</v>
      </c>
      <c r="P50" s="64">
        <f>'SS Desalin_Water'!$D$11</f>
        <v>315.45000000000005</v>
      </c>
      <c r="Q50" s="64">
        <f t="shared" si="11"/>
        <v>645.59873032673659</v>
      </c>
      <c r="R50" s="64">
        <f>'SS NEWater'!$D$12</f>
        <v>247.39999999999998</v>
      </c>
    </row>
    <row r="51" spans="2:18">
      <c r="B51" s="6">
        <v>2043</v>
      </c>
      <c r="C51" s="3" cm="1">
        <f t="array" ref="C51">_xlfn.IFS($D$8="Low",'Pop FCST'!C51,$D$8="Medium",'Pop FCST'!D51,$D$8="High",'Pop FCST'!E51)</f>
        <v>7518240.434114201</v>
      </c>
      <c r="D51" s="64">
        <f t="shared" si="0"/>
        <v>682.24120075272833</v>
      </c>
      <c r="E51" s="64">
        <f t="shared" si="7"/>
        <v>321.54491684880577</v>
      </c>
      <c r="F51" s="64">
        <f t="shared" si="1"/>
        <v>674.05430634369566</v>
      </c>
      <c r="G51" s="64">
        <f t="shared" si="2"/>
        <v>317.68637784661996</v>
      </c>
      <c r="H51" s="64">
        <f t="shared" si="3"/>
        <v>665.86741193466287</v>
      </c>
      <c r="I51" s="64">
        <f t="shared" si="8"/>
        <v>313.82783884443438</v>
      </c>
      <c r="J51" s="64">
        <f t="shared" si="4"/>
        <v>657.68051752563008</v>
      </c>
      <c r="K51" s="64">
        <f t="shared" si="9"/>
        <v>309.9692998422488</v>
      </c>
      <c r="L51" s="64">
        <f t="shared" si="5"/>
        <v>649.49362311659718</v>
      </c>
      <c r="M51" s="64">
        <f t="shared" si="10"/>
        <v>306.11076084006311</v>
      </c>
      <c r="N51" s="64" cm="1">
        <f t="array" ref="N51">_xlfn.IFS($D$9="Low",'SS Water_CM'!$H74,$D$9="Medium",'SS Water_CM'!$I74,$D$9="High",'SS Water_CM'!$J74)</f>
        <v>332.8005273574733</v>
      </c>
      <c r="O51" s="64">
        <f t="shared" si="6"/>
        <v>0</v>
      </c>
      <c r="P51" s="64">
        <f>'SS Desalin_Water'!$D$11</f>
        <v>315.45000000000005</v>
      </c>
      <c r="Q51" s="64">
        <f t="shared" si="11"/>
        <v>648.2505273574734</v>
      </c>
      <c r="R51" s="64">
        <f>'SS NEWater'!$D$12</f>
        <v>247.39999999999998</v>
      </c>
    </row>
    <row r="52" spans="2:18">
      <c r="B52" s="6">
        <v>2044</v>
      </c>
      <c r="C52" s="3" cm="1">
        <f t="array" ref="C52">_xlfn.IFS($D$8="Low",'Pop FCST'!C52,$D$8="Medium",'Pop FCST'!D52,$D$8="High",'Pop FCST'!E52)</f>
        <v>7605379.0614134697</v>
      </c>
      <c r="D52" s="64">
        <f t="shared" si="0"/>
        <v>688.31794495119141</v>
      </c>
      <c r="E52" s="64">
        <f t="shared" si="7"/>
        <v>335.93106264960886</v>
      </c>
      <c r="F52" s="64">
        <f t="shared" si="1"/>
        <v>680.05812961177708</v>
      </c>
      <c r="G52" s="64">
        <f t="shared" si="2"/>
        <v>331.89988989781352</v>
      </c>
      <c r="H52" s="64">
        <f t="shared" si="3"/>
        <v>671.79831427236286</v>
      </c>
      <c r="I52" s="64">
        <f t="shared" si="8"/>
        <v>327.86871714601807</v>
      </c>
      <c r="J52" s="64">
        <f t="shared" si="4"/>
        <v>663.53849893294853</v>
      </c>
      <c r="K52" s="64">
        <f t="shared" si="9"/>
        <v>323.83754439422285</v>
      </c>
      <c r="L52" s="64">
        <f t="shared" si="5"/>
        <v>655.27868359353431</v>
      </c>
      <c r="M52" s="64">
        <f t="shared" si="10"/>
        <v>319.80637164242751</v>
      </c>
      <c r="N52" s="64" cm="1">
        <f t="array" ref="N52">_xlfn.IFS($D$9="Low",'SS Water_CM'!$H75,$D$9="Medium",'SS Water_CM'!$I75,$D$9="High",'SS Water_CM'!$J75)</f>
        <v>335.45232438821017</v>
      </c>
      <c r="O52" s="64">
        <f t="shared" si="6"/>
        <v>0</v>
      </c>
      <c r="P52" s="64">
        <f>'SS Desalin_Water'!$D$11</f>
        <v>315.45000000000005</v>
      </c>
      <c r="Q52" s="64">
        <f t="shared" si="11"/>
        <v>650.90232438821022</v>
      </c>
      <c r="R52" s="64">
        <f>'SS NEWater'!$D$12</f>
        <v>247.39999999999998</v>
      </c>
    </row>
    <row r="53" spans="2:18">
      <c r="B53" s="6">
        <v>2045</v>
      </c>
      <c r="C53" s="3" cm="1">
        <f t="array" ref="C53">_xlfn.IFS($D$8="Low",'Pop FCST'!C53,$D$8="Medium",'Pop FCST'!D53,$D$8="High",'Pop FCST'!E53)</f>
        <v>7693179.9422802124</v>
      </c>
      <c r="D53" s="64">
        <f t="shared" si="0"/>
        <v>694.41251745330499</v>
      </c>
      <c r="E53" s="64">
        <f t="shared" si="7"/>
        <v>350.82633813268978</v>
      </c>
      <c r="F53" s="64">
        <f t="shared" si="1"/>
        <v>686.07956724386531</v>
      </c>
      <c r="G53" s="64">
        <f t="shared" si="2"/>
        <v>346.6164220750976</v>
      </c>
      <c r="H53" s="64">
        <f t="shared" si="3"/>
        <v>677.74661703442564</v>
      </c>
      <c r="I53" s="64">
        <f t="shared" si="8"/>
        <v>342.40650601750519</v>
      </c>
      <c r="J53" s="64">
        <f t="shared" si="4"/>
        <v>669.41366682498597</v>
      </c>
      <c r="K53" s="64">
        <f t="shared" si="9"/>
        <v>338.19658995991301</v>
      </c>
      <c r="L53" s="64">
        <f t="shared" si="5"/>
        <v>661.08071661554618</v>
      </c>
      <c r="M53" s="64">
        <f t="shared" si="10"/>
        <v>333.98667390232072</v>
      </c>
      <c r="N53" s="64" cm="1">
        <f t="array" ref="N53">_xlfn.IFS($D$9="Low",'SS Water_CM'!$H76,$D$9="Medium",'SS Water_CM'!$I76,$D$9="High",'SS Water_CM'!$J76)</f>
        <v>338.10412141894693</v>
      </c>
      <c r="O53" s="64">
        <f t="shared" si="6"/>
        <v>0</v>
      </c>
      <c r="P53" s="64">
        <f>'SS Desalin_Water'!$D$11</f>
        <v>315.45000000000005</v>
      </c>
      <c r="Q53" s="64">
        <f t="shared" si="11"/>
        <v>653.55412141894703</v>
      </c>
      <c r="R53" s="64">
        <f>'SS NEWater'!$D$12</f>
        <v>247.39999999999998</v>
      </c>
    </row>
    <row r="54" spans="2:18">
      <c r="B54" s="6">
        <v>2046</v>
      </c>
      <c r="C54" s="3" cm="1">
        <f t="array" ref="C54">_xlfn.IFS($D$8="Low",'Pop FCST'!C54,$D$8="Medium",'Pop FCST'!D54,$D$8="High",'Pop FCST'!E54)</f>
        <v>7781648.1098415423</v>
      </c>
      <c r="D54" s="64">
        <f t="shared" si="0"/>
        <v>700.5248931366815</v>
      </c>
      <c r="E54" s="64">
        <f t="shared" si="7"/>
        <v>366.25106670469438</v>
      </c>
      <c r="F54" s="64">
        <f t="shared" si="1"/>
        <v>692.11859441904141</v>
      </c>
      <c r="G54" s="64">
        <f t="shared" si="2"/>
        <v>361.85605390423791</v>
      </c>
      <c r="H54" s="64">
        <f t="shared" si="3"/>
        <v>683.71229570140122</v>
      </c>
      <c r="I54" s="64">
        <f t="shared" si="8"/>
        <v>357.46104110378155</v>
      </c>
      <c r="J54" s="64">
        <f t="shared" si="4"/>
        <v>675.30599698376091</v>
      </c>
      <c r="K54" s="64">
        <f t="shared" si="9"/>
        <v>353.06602830332531</v>
      </c>
      <c r="L54" s="64">
        <f t="shared" si="5"/>
        <v>666.89969826612071</v>
      </c>
      <c r="M54" s="64">
        <f t="shared" si="10"/>
        <v>348.67101550286895</v>
      </c>
      <c r="N54" s="64" cm="1">
        <f t="array" ref="N54">_xlfn.IFS($D$9="Low",'SS Water_CM'!$H77,$D$9="Medium",'SS Water_CM'!$I77,$D$9="High",'SS Water_CM'!$J77)</f>
        <v>340.7559184496838</v>
      </c>
      <c r="O54" s="64">
        <f t="shared" si="6"/>
        <v>0</v>
      </c>
      <c r="P54" s="64">
        <f>'SS Desalin_Water'!$D$11</f>
        <v>315.45000000000005</v>
      </c>
      <c r="Q54" s="64">
        <f t="shared" si="11"/>
        <v>656.20591844968385</v>
      </c>
      <c r="R54" s="64">
        <f>'SS NEWater'!$D$12</f>
        <v>247.39999999999998</v>
      </c>
    </row>
    <row r="55" spans="2:18">
      <c r="B55" s="6">
        <v>2047</v>
      </c>
      <c r="C55" s="3" cm="1">
        <f t="array" ref="C55">_xlfn.IFS($D$8="Low",'Pop FCST'!C55,$D$8="Medium",'Pop FCST'!D55,$D$8="High",'Pop FCST'!E55)</f>
        <v>7870788.6354763387</v>
      </c>
      <c r="D55" s="64">
        <f t="shared" si="0"/>
        <v>706.65504546731142</v>
      </c>
      <c r="E55" s="64">
        <f t="shared" si="7"/>
        <v>382.22663449189758</v>
      </c>
      <c r="F55" s="64">
        <f t="shared" si="1"/>
        <v>698.17518492170359</v>
      </c>
      <c r="G55" s="64">
        <f t="shared" si="2"/>
        <v>377.63991487799478</v>
      </c>
      <c r="H55" s="64">
        <f t="shared" si="3"/>
        <v>689.69532437609587</v>
      </c>
      <c r="I55" s="64">
        <f t="shared" si="8"/>
        <v>373.0531952640921</v>
      </c>
      <c r="J55" s="64">
        <f t="shared" si="4"/>
        <v>681.21546383048815</v>
      </c>
      <c r="K55" s="64">
        <f t="shared" si="9"/>
        <v>368.4664756501893</v>
      </c>
      <c r="L55" s="64">
        <f t="shared" si="5"/>
        <v>672.73560328488054</v>
      </c>
      <c r="M55" s="64">
        <f t="shared" si="10"/>
        <v>363.87975603628638</v>
      </c>
      <c r="N55" s="64" cm="1">
        <f t="array" ref="N55">_xlfn.IFS($D$9="Low",'SS Water_CM'!$H78,$D$9="Medium",'SS Water_CM'!$I78,$D$9="High",'SS Water_CM'!$J78)</f>
        <v>343.40771548042056</v>
      </c>
      <c r="O55" s="64">
        <f t="shared" si="6"/>
        <v>0</v>
      </c>
      <c r="P55" s="64">
        <f>'SS Desalin_Water'!$D$11</f>
        <v>315.45000000000005</v>
      </c>
      <c r="Q55" s="64">
        <f t="shared" si="11"/>
        <v>658.85771548042067</v>
      </c>
      <c r="R55" s="64">
        <f>'SS NEWater'!$D$12</f>
        <v>247.39999999999998</v>
      </c>
    </row>
    <row r="56" spans="2:18">
      <c r="B56" s="6">
        <v>2048</v>
      </c>
      <c r="C56" s="3" cm="1">
        <f t="array" ref="C56">_xlfn.IFS($D$8="Low",'Pop FCST'!C56,$D$8="Medium",'Pop FCST'!D56,$D$8="High",'Pop FCST'!E56)</f>
        <v>7960606.6291059591</v>
      </c>
      <c r="D56" s="64">
        <f t="shared" si="0"/>
        <v>712.80294647955554</v>
      </c>
      <c r="E56" s="64">
        <f t="shared" si="7"/>
        <v>398.7755607583365</v>
      </c>
      <c r="F56" s="64">
        <f t="shared" si="1"/>
        <v>704.24931112180082</v>
      </c>
      <c r="G56" s="64">
        <f t="shared" si="2"/>
        <v>393.99025402923644</v>
      </c>
      <c r="H56" s="64">
        <f t="shared" si="3"/>
        <v>695.69567576404631</v>
      </c>
      <c r="I56" s="64">
        <f t="shared" si="8"/>
        <v>389.20494730013615</v>
      </c>
      <c r="J56" s="64">
        <f t="shared" si="4"/>
        <v>687.14204040629158</v>
      </c>
      <c r="K56" s="64">
        <f t="shared" si="9"/>
        <v>384.41964057103633</v>
      </c>
      <c r="L56" s="64">
        <f t="shared" si="5"/>
        <v>678.58840504853686</v>
      </c>
      <c r="M56" s="64">
        <f t="shared" si="10"/>
        <v>379.63433384193638</v>
      </c>
      <c r="N56" s="64" cm="1">
        <f t="array" ref="N56">_xlfn.IFS($D$9="Low",'SS Water_CM'!$H79,$D$9="Medium",'SS Water_CM'!$I79,$D$9="High",'SS Water_CM'!$J79)</f>
        <v>346.05951251115738</v>
      </c>
      <c r="O56" s="64">
        <f t="shared" si="6"/>
        <v>0</v>
      </c>
      <c r="P56" s="64">
        <f>'SS Desalin_Water'!$D$11</f>
        <v>315.45000000000005</v>
      </c>
      <c r="Q56" s="64">
        <f t="shared" si="11"/>
        <v>661.50951251115748</v>
      </c>
      <c r="R56" s="64">
        <f>'SS NEWater'!$D$12</f>
        <v>247.39999999999998</v>
      </c>
    </row>
    <row r="57" spans="2:18">
      <c r="B57" s="6">
        <v>2049</v>
      </c>
      <c r="C57" s="3" cm="1">
        <f t="array" ref="C57">_xlfn.IFS($D$8="Low",'Pop FCST'!C57,$D$8="Medium",'Pop FCST'!D57,$D$8="High",'Pop FCST'!E57)</f>
        <v>8051107.2394871647</v>
      </c>
      <c r="D57" s="64">
        <f t="shared" si="0"/>
        <v>718.96856675591823</v>
      </c>
      <c r="E57" s="64">
        <f t="shared" si="7"/>
        <v>415.92157400436975</v>
      </c>
      <c r="F57" s="64">
        <f t="shared" si="1"/>
        <v>710.34094395484726</v>
      </c>
      <c r="G57" s="64">
        <f t="shared" si="2"/>
        <v>410.93051511631722</v>
      </c>
      <c r="H57" s="64">
        <f t="shared" si="3"/>
        <v>701.71332115377618</v>
      </c>
      <c r="I57" s="64">
        <f t="shared" si="8"/>
        <v>405.93945622826493</v>
      </c>
      <c r="J57" s="64">
        <f t="shared" si="4"/>
        <v>693.08569835270509</v>
      </c>
      <c r="K57" s="64">
        <f t="shared" si="9"/>
        <v>400.94839734021241</v>
      </c>
      <c r="L57" s="64">
        <f t="shared" si="5"/>
        <v>684.45807555163401</v>
      </c>
      <c r="M57" s="64">
        <f t="shared" si="10"/>
        <v>395.95733845216012</v>
      </c>
      <c r="N57" s="64" cm="1">
        <f t="array" ref="N57">_xlfn.IFS($D$9="Low",'SS Water_CM'!$H80,$D$9="Medium",'SS Water_CM'!$I80,$D$9="High",'SS Water_CM'!$J80)</f>
        <v>348.71130954189414</v>
      </c>
      <c r="O57" s="64">
        <f t="shared" si="6"/>
        <v>0</v>
      </c>
      <c r="P57" s="64">
        <f>'SS Desalin_Water'!$D$11</f>
        <v>315.45000000000005</v>
      </c>
      <c r="Q57" s="64">
        <f t="shared" si="11"/>
        <v>664.16130954189418</v>
      </c>
      <c r="R57" s="64">
        <f>'SS NEWater'!$D$12</f>
        <v>247.39999999999998</v>
      </c>
    </row>
    <row r="58" spans="2:18">
      <c r="B58" s="6">
        <v>2050</v>
      </c>
      <c r="C58" s="3" cm="1">
        <f t="array" ref="C58">_xlfn.IFS($D$8="Low",'Pop FCST'!C58,$D$8="Medium",'Pop FCST'!D58,$D$8="High",'Pop FCST'!E58)</f>
        <v>8142295.6545072673</v>
      </c>
      <c r="D58" s="64">
        <f t="shared" si="0"/>
        <v>725.15187540659383</v>
      </c>
      <c r="E58" s="64">
        <f t="shared" si="7"/>
        <v>433.68969428767605</v>
      </c>
      <c r="F58" s="64">
        <f t="shared" si="1"/>
        <v>716.45005290171491</v>
      </c>
      <c r="G58" s="64">
        <f t="shared" si="2"/>
        <v>428.48541795622396</v>
      </c>
      <c r="H58" s="64">
        <f t="shared" si="3"/>
        <v>707.74823039683577</v>
      </c>
      <c r="I58" s="64">
        <f t="shared" si="8"/>
        <v>423.28114162477186</v>
      </c>
      <c r="J58" s="64">
        <f t="shared" si="4"/>
        <v>699.04640789195662</v>
      </c>
      <c r="K58" s="64">
        <f t="shared" si="9"/>
        <v>418.07686529331966</v>
      </c>
      <c r="L58" s="64">
        <f t="shared" si="5"/>
        <v>690.34458538707747</v>
      </c>
      <c r="M58" s="64">
        <f t="shared" si="10"/>
        <v>412.87258896186756</v>
      </c>
      <c r="N58" s="64" cm="1">
        <f t="array" ref="N58">_xlfn.IFS($D$9="Low",'SS Water_CM'!$H81,$D$9="Medium",'SS Water_CM'!$I81,$D$9="High",'SS Water_CM'!$J81)</f>
        <v>351.36310657263101</v>
      </c>
      <c r="O58" s="64">
        <f t="shared" si="6"/>
        <v>0</v>
      </c>
      <c r="P58" s="64">
        <f>'SS Desalin_Water'!$D$11</f>
        <v>315.45000000000005</v>
      </c>
      <c r="Q58" s="64">
        <f t="shared" si="11"/>
        <v>666.81310657263111</v>
      </c>
      <c r="R58" s="64">
        <f>'SS NEWater'!$D$12</f>
        <v>247.39999999999998</v>
      </c>
    </row>
    <row r="59" spans="2:18">
      <c r="B59" s="6">
        <v>2051</v>
      </c>
      <c r="C59" s="3" cm="1">
        <f t="array" ref="C59">_xlfn.IFS($D$8="Low",'Pop FCST'!C59,$D$8="Medium",'Pop FCST'!D59,$D$8="High",'Pop FCST'!E59)</f>
        <v>8234177.1014815234</v>
      </c>
      <c r="D59" s="64">
        <f t="shared" si="0"/>
        <v>731.35284004878758</v>
      </c>
      <c r="E59" s="64">
        <f t="shared" si="7"/>
        <v>452.10632236861784</v>
      </c>
      <c r="F59" s="64">
        <f t="shared" si="1"/>
        <v>722.57660596820222</v>
      </c>
      <c r="G59" s="64">
        <f t="shared" si="2"/>
        <v>446.68104650019473</v>
      </c>
      <c r="H59" s="64">
        <f t="shared" si="3"/>
        <v>713.80037188761673</v>
      </c>
      <c r="I59" s="64">
        <f t="shared" si="8"/>
        <v>441.25577063177104</v>
      </c>
      <c r="J59" s="64">
        <f t="shared" si="4"/>
        <v>705.02413780703125</v>
      </c>
      <c r="K59" s="64">
        <f t="shared" si="9"/>
        <v>435.83049476334747</v>
      </c>
      <c r="L59" s="64">
        <f t="shared" si="5"/>
        <v>696.24790372644577</v>
      </c>
      <c r="M59" s="64">
        <f t="shared" si="10"/>
        <v>430.40521889492425</v>
      </c>
      <c r="N59" s="64" cm="1">
        <f t="array" ref="N59">_xlfn.IFS($D$9="Low",'SS Water_CM'!$H82,$D$9="Medium",'SS Water_CM'!$I82,$D$9="High",'SS Water_CM'!$J82)</f>
        <v>354.01490360336788</v>
      </c>
      <c r="O59" s="64">
        <f t="shared" si="6"/>
        <v>0</v>
      </c>
      <c r="P59" s="64">
        <f>'SS Desalin_Water'!$D$11</f>
        <v>315.45000000000005</v>
      </c>
      <c r="Q59" s="64">
        <f t="shared" si="11"/>
        <v>669.46490360336793</v>
      </c>
      <c r="R59" s="64">
        <f>'SS NEWater'!$D$12</f>
        <v>247.39999999999998</v>
      </c>
    </row>
    <row r="60" spans="2:18">
      <c r="B60" s="6">
        <v>2052</v>
      </c>
      <c r="C60" s="3" cm="1">
        <f t="array" ref="C60">_xlfn.IFS($D$8="Low",'Pop FCST'!C60,$D$8="Medium",'Pop FCST'!D60,$D$8="High",'Pop FCST'!E60)</f>
        <v>8326756.847452783</v>
      </c>
      <c r="D60" s="64">
        <f t="shared" si="0"/>
        <v>737.57142678580487</v>
      </c>
      <c r="E60" s="64">
        <f t="shared" si="7"/>
        <v>471.1993363493832</v>
      </c>
      <c r="F60" s="64">
        <f t="shared" si="1"/>
        <v>728.72056966437538</v>
      </c>
      <c r="G60" s="64">
        <f t="shared" si="2"/>
        <v>465.54494431319051</v>
      </c>
      <c r="H60" s="64">
        <f t="shared" si="3"/>
        <v>719.86971254294565</v>
      </c>
      <c r="I60" s="64">
        <f t="shared" si="8"/>
        <v>459.89055227699782</v>
      </c>
      <c r="J60" s="64">
        <f t="shared" si="4"/>
        <v>711.01885542151592</v>
      </c>
      <c r="K60" s="64">
        <f t="shared" si="9"/>
        <v>454.23616024080525</v>
      </c>
      <c r="L60" s="64">
        <f t="shared" si="5"/>
        <v>702.16799830008631</v>
      </c>
      <c r="M60" s="64">
        <f t="shared" si="10"/>
        <v>448.58176820461267</v>
      </c>
      <c r="N60" s="64" cm="1">
        <f t="array" ref="N60">_xlfn.IFS($D$9="Low",'SS Water_CM'!$H83,$D$9="Medium",'SS Water_CM'!$I83,$D$9="High",'SS Water_CM'!$J83)</f>
        <v>356.6667006341047</v>
      </c>
      <c r="O60" s="64">
        <f t="shared" si="6"/>
        <v>0</v>
      </c>
      <c r="P60" s="64">
        <f>'SS Desalin_Water'!$D$11</f>
        <v>315.45000000000005</v>
      </c>
      <c r="Q60" s="64">
        <f t="shared" si="11"/>
        <v>672.11670063410475</v>
      </c>
      <c r="R60" s="64">
        <f>'SS NEWater'!$D$12</f>
        <v>247.39999999999998</v>
      </c>
    </row>
    <row r="61" spans="2:18">
      <c r="B61" s="6">
        <v>2053</v>
      </c>
      <c r="C61" s="3" cm="1">
        <f t="array" ref="C61">_xlfn.IFS($D$8="Low",'Pop FCST'!C61,$D$8="Medium",'Pop FCST'!D61,$D$8="High",'Pop FCST'!E61)</f>
        <v>8420040.199493425</v>
      </c>
      <c r="D61" s="64">
        <f t="shared" si="0"/>
        <v>743.80760018591207</v>
      </c>
      <c r="E61" s="64">
        <f t="shared" si="7"/>
        <v>490.99819655242743</v>
      </c>
      <c r="F61" s="64">
        <f t="shared" si="1"/>
        <v>734.88190898368123</v>
      </c>
      <c r="G61" s="64">
        <f t="shared" si="2"/>
        <v>485.10621819379821</v>
      </c>
      <c r="H61" s="64">
        <f t="shared" si="3"/>
        <v>725.95621778145005</v>
      </c>
      <c r="I61" s="64">
        <f t="shared" si="8"/>
        <v>479.21423983516922</v>
      </c>
      <c r="J61" s="64">
        <f t="shared" si="4"/>
        <v>717.0305265792191</v>
      </c>
      <c r="K61" s="64">
        <f t="shared" si="9"/>
        <v>473.32226147654012</v>
      </c>
      <c r="L61" s="64">
        <f t="shared" si="5"/>
        <v>708.10483537698838</v>
      </c>
      <c r="M61" s="64">
        <f t="shared" si="10"/>
        <v>467.43028311791079</v>
      </c>
      <c r="N61" s="64" cm="1">
        <f t="array" ref="N61">_xlfn.IFS($D$9="Low",'SS Water_CM'!$H84,$D$9="Medium",'SS Water_CM'!$I84,$D$9="High",'SS Water_CM'!$J84)</f>
        <v>359.31849766484157</v>
      </c>
      <c r="O61" s="64">
        <f t="shared" si="6"/>
        <v>0</v>
      </c>
      <c r="P61" s="64">
        <f>'SS Desalin_Water'!$D$11</f>
        <v>315.45000000000005</v>
      </c>
      <c r="Q61" s="64">
        <f t="shared" si="11"/>
        <v>674.76849766484156</v>
      </c>
      <c r="R61" s="64">
        <f>'SS NEWater'!$D$12</f>
        <v>247.39999999999998</v>
      </c>
    </row>
    <row r="62" spans="2:18">
      <c r="B62" s="6">
        <v>2054</v>
      </c>
      <c r="C62" s="3" cm="1">
        <f t="array" ref="C62">_xlfn.IFS($D$8="Low",'Pop FCST'!C62,$D$8="Medium",'Pop FCST'!D62,$D$8="High",'Pop FCST'!E62)</f>
        <v>8514032.5050095748</v>
      </c>
      <c r="D62" s="64">
        <f t="shared" si="0"/>
        <v>750.06132326095997</v>
      </c>
      <c r="E62" s="64">
        <f t="shared" si="7"/>
        <v>511.53405946972975</v>
      </c>
      <c r="F62" s="64">
        <f t="shared" si="1"/>
        <v>741.06058738182855</v>
      </c>
      <c r="G62" s="64">
        <f t="shared" si="2"/>
        <v>505.39565075609289</v>
      </c>
      <c r="H62" s="64">
        <f t="shared" si="3"/>
        <v>732.05985150269692</v>
      </c>
      <c r="I62" s="64">
        <f t="shared" si="8"/>
        <v>499.25724204245626</v>
      </c>
      <c r="J62" s="64">
        <f t="shared" si="4"/>
        <v>723.0591156235655</v>
      </c>
      <c r="K62" s="64">
        <f t="shared" si="9"/>
        <v>493.11883332881962</v>
      </c>
      <c r="L62" s="64">
        <f t="shared" si="5"/>
        <v>714.05837974443386</v>
      </c>
      <c r="M62" s="64">
        <f t="shared" si="10"/>
        <v>486.98042461518276</v>
      </c>
      <c r="N62" s="64" cm="1">
        <f t="array" ref="N62">_xlfn.IFS($D$9="Low",'SS Water_CM'!$H85,$D$9="Medium",'SS Water_CM'!$I85,$D$9="High",'SS Water_CM'!$J85)</f>
        <v>361.97029469557833</v>
      </c>
      <c r="O62" s="64">
        <f t="shared" si="6"/>
        <v>0</v>
      </c>
      <c r="P62" s="64">
        <f>'SS Desalin_Water'!$D$11</f>
        <v>315.45000000000005</v>
      </c>
      <c r="Q62" s="64">
        <f t="shared" si="11"/>
        <v>677.42029469557838</v>
      </c>
      <c r="R62" s="64">
        <f>'SS NEWater'!$D$12</f>
        <v>247.39999999999998</v>
      </c>
    </row>
    <row r="63" spans="2:18">
      <c r="B63" s="6">
        <v>2055</v>
      </c>
      <c r="C63" s="3" cm="1">
        <f t="array" ref="C63">_xlfn.IFS($D$8="Low",'Pop FCST'!C63,$D$8="Medium",'Pop FCST'!D63,$D$8="High",'Pop FCST'!E63)</f>
        <v>8608739.1520476472</v>
      </c>
      <c r="D63" s="64">
        <f t="shared" si="0"/>
        <v>756.33255744477503</v>
      </c>
      <c r="E63" s="64">
        <f t="shared" si="7"/>
        <v>532.83990171168034</v>
      </c>
      <c r="F63" s="64">
        <f t="shared" si="1"/>
        <v>747.2565667554378</v>
      </c>
      <c r="G63" s="64">
        <f t="shared" si="2"/>
        <v>526.44582289114032</v>
      </c>
      <c r="H63" s="64">
        <f t="shared" si="3"/>
        <v>738.18057606610034</v>
      </c>
      <c r="I63" s="64">
        <f t="shared" si="8"/>
        <v>520.05174407060031</v>
      </c>
      <c r="J63" s="64">
        <f t="shared" si="4"/>
        <v>729.10458537676323</v>
      </c>
      <c r="K63" s="64">
        <f t="shared" si="9"/>
        <v>513.65766525005984</v>
      </c>
      <c r="L63" s="64">
        <f t="shared" si="5"/>
        <v>720.02859468742588</v>
      </c>
      <c r="M63" s="64">
        <f t="shared" si="10"/>
        <v>507.26358642951959</v>
      </c>
      <c r="N63" s="64" cm="1">
        <f t="array" ref="N63">_xlfn.IFS($D$9="Low",'SS Water_CM'!$H86,$D$9="Medium",'SS Water_CM'!$I86,$D$9="High",'SS Water_CM'!$J86)</f>
        <v>364.62209172631515</v>
      </c>
      <c r="O63" s="64">
        <f t="shared" si="6"/>
        <v>0</v>
      </c>
      <c r="P63" s="64">
        <f>'SS Desalin_Water'!$D$11</f>
        <v>315.45000000000005</v>
      </c>
      <c r="Q63" s="64">
        <f t="shared" si="11"/>
        <v>680.07209172631519</v>
      </c>
      <c r="R63" s="64">
        <f>'SS NEWater'!$D$12</f>
        <v>247.39999999999998</v>
      </c>
    </row>
    <row r="64" spans="2:18">
      <c r="B64" s="6">
        <v>2056</v>
      </c>
      <c r="C64" s="3" cm="1">
        <f t="array" ref="C64">_xlfn.IFS($D$8="Low",'Pop FCST'!C64,$D$8="Medium",'Pop FCST'!D64,$D$8="High",'Pop FCST'!E64)</f>
        <v>8704165.5696032103</v>
      </c>
      <c r="D64" s="64">
        <f t="shared" si="0"/>
        <v>762.62126257130797</v>
      </c>
      <c r="E64" s="64">
        <f t="shared" si="7"/>
        <v>554.95065499473901</v>
      </c>
      <c r="F64" s="64">
        <f t="shared" si="1"/>
        <v>753.46980742045218</v>
      </c>
      <c r="G64" s="64">
        <f t="shared" si="2"/>
        <v>548.29124713480235</v>
      </c>
      <c r="H64" s="64">
        <f t="shared" si="3"/>
        <v>744.3183522695964</v>
      </c>
      <c r="I64" s="64">
        <f t="shared" si="8"/>
        <v>541.63183927486534</v>
      </c>
      <c r="J64" s="64">
        <f t="shared" si="4"/>
        <v>735.16689711874085</v>
      </c>
      <c r="K64" s="64">
        <f t="shared" si="9"/>
        <v>534.97243141492845</v>
      </c>
      <c r="L64" s="64">
        <f t="shared" si="5"/>
        <v>726.01544196788507</v>
      </c>
      <c r="M64" s="64">
        <f t="shared" si="10"/>
        <v>528.31302355499179</v>
      </c>
      <c r="N64" s="64" cm="1">
        <f t="array" ref="N64">_xlfn.IFS($D$9="Low",'SS Water_CM'!$H87,$D$9="Medium",'SS Water_CM'!$I87,$D$9="High",'SS Water_CM'!$J87)</f>
        <v>367.27388875705191</v>
      </c>
      <c r="O64" s="64">
        <f t="shared" si="6"/>
        <v>0</v>
      </c>
      <c r="P64" s="64">
        <f>'SS Desalin_Water'!$D$11</f>
        <v>315.45000000000005</v>
      </c>
      <c r="Q64" s="64">
        <f t="shared" si="11"/>
        <v>682.72388875705201</v>
      </c>
      <c r="R64" s="64">
        <f>'SS NEWater'!$D$12</f>
        <v>247.39999999999998</v>
      </c>
    </row>
    <row r="65" spans="2:18">
      <c r="B65" s="6">
        <v>2057</v>
      </c>
      <c r="C65" s="3" cm="1">
        <f t="array" ref="C65">_xlfn.IFS($D$8="Low",'Pop FCST'!C65,$D$8="Medium",'Pop FCST'!D65,$D$8="High",'Pop FCST'!E65)</f>
        <v>8800317.2279321942</v>
      </c>
      <c r="D65" s="64">
        <f t="shared" si="0"/>
        <v>768.92739685254367</v>
      </c>
      <c r="E65" s="64">
        <f t="shared" si="7"/>
        <v>577.90335333226199</v>
      </c>
      <c r="F65" s="64">
        <f t="shared" si="1"/>
        <v>759.70026809031299</v>
      </c>
      <c r="G65" s="64">
        <f t="shared" si="2"/>
        <v>570.96851309227497</v>
      </c>
      <c r="H65" s="64">
        <f t="shared" si="3"/>
        <v>750.47313932808265</v>
      </c>
      <c r="I65" s="64">
        <f t="shared" si="8"/>
        <v>564.03367285228774</v>
      </c>
      <c r="J65" s="64">
        <f t="shared" si="4"/>
        <v>741.24601056585198</v>
      </c>
      <c r="K65" s="64">
        <f t="shared" si="9"/>
        <v>557.09883261230061</v>
      </c>
      <c r="L65" s="64">
        <f t="shared" si="5"/>
        <v>732.01888180362164</v>
      </c>
      <c r="M65" s="64">
        <f t="shared" si="10"/>
        <v>550.16399237231315</v>
      </c>
      <c r="N65" s="64" cm="1">
        <f t="array" ref="N65">_xlfn.IFS($D$9="Low",'SS Water_CM'!$H88,$D$9="Medium",'SS Water_CM'!$I88,$D$9="High",'SS Water_CM'!$J88)</f>
        <v>369.92568578778884</v>
      </c>
      <c r="O65" s="64">
        <f t="shared" si="6"/>
        <v>0</v>
      </c>
      <c r="P65" s="64">
        <f>'SS Desalin_Water'!$D$11</f>
        <v>315.45000000000005</v>
      </c>
      <c r="Q65" s="64">
        <f t="shared" si="11"/>
        <v>685.37568578778883</v>
      </c>
      <c r="R65" s="64">
        <f>'SS NEWater'!$D$12</f>
        <v>247.39999999999998</v>
      </c>
    </row>
    <row r="66" spans="2:18">
      <c r="B66" s="6">
        <v>2058</v>
      </c>
      <c r="C66" s="3" cm="1">
        <f t="array" ref="C66">_xlfn.IFS($D$8="Low",'Pop FCST'!C66,$D$8="Medium",'Pop FCST'!D66,$D$8="High",'Pop FCST'!E66)</f>
        <v>8897199.63886448</v>
      </c>
      <c r="D66" s="64">
        <f t="shared" si="0"/>
        <v>775.25091685616837</v>
      </c>
      <c r="E66" s="64">
        <f t="shared" si="7"/>
        <v>601.73729373542938</v>
      </c>
      <c r="F66" s="64">
        <f t="shared" si="1"/>
        <v>765.94790585389444</v>
      </c>
      <c r="G66" s="64">
        <f t="shared" si="2"/>
        <v>594.51644621060404</v>
      </c>
      <c r="H66" s="64">
        <f t="shared" si="3"/>
        <v>756.64489485162028</v>
      </c>
      <c r="I66" s="64">
        <f t="shared" si="8"/>
        <v>587.29559868577917</v>
      </c>
      <c r="J66" s="64">
        <f t="shared" si="4"/>
        <v>747.34188384934623</v>
      </c>
      <c r="K66" s="64">
        <f t="shared" si="9"/>
        <v>580.07475116095407</v>
      </c>
      <c r="L66" s="64">
        <f t="shared" si="5"/>
        <v>738.03887284707218</v>
      </c>
      <c r="M66" s="64">
        <f t="shared" si="10"/>
        <v>572.85390363612862</v>
      </c>
      <c r="N66" s="64" cm="1">
        <f t="array" ref="N66">_xlfn.IFS($D$9="Low",'SS Water_CM'!$H89,$D$9="Medium",'SS Water_CM'!$I89,$D$9="High",'SS Water_CM'!$J89)</f>
        <v>372.5774828185256</v>
      </c>
      <c r="O66" s="64">
        <f t="shared" si="6"/>
        <v>0</v>
      </c>
      <c r="P66" s="64">
        <f>'SS Desalin_Water'!$D$11</f>
        <v>315.45000000000005</v>
      </c>
      <c r="Q66" s="64">
        <f t="shared" si="11"/>
        <v>688.02748281852564</v>
      </c>
      <c r="R66" s="64">
        <f>'SS NEWater'!$D$12</f>
        <v>247.39999999999998</v>
      </c>
    </row>
    <row r="67" spans="2:18">
      <c r="B67" s="6">
        <v>2059</v>
      </c>
      <c r="C67" s="3" cm="1">
        <f t="array" ref="C67">_xlfn.IFS($D$8="Low",'Pop FCST'!C67,$D$8="Medium",'Pop FCST'!D67,$D$8="High",'Pop FCST'!E67)</f>
        <v>8994818.3561198507</v>
      </c>
      <c r="D67" s="64">
        <f t="shared" si="0"/>
        <v>781.59177748298828</v>
      </c>
      <c r="E67" s="64">
        <f t="shared" si="7"/>
        <v>626.49421189365137</v>
      </c>
      <c r="F67" s="64">
        <f t="shared" si="1"/>
        <v>772.21267615319232</v>
      </c>
      <c r="G67" s="64">
        <f t="shared" si="2"/>
        <v>618.97628135092748</v>
      </c>
      <c r="H67" s="64">
        <f t="shared" si="3"/>
        <v>762.8335748233967</v>
      </c>
      <c r="I67" s="64">
        <f t="shared" si="8"/>
        <v>611.45835080820348</v>
      </c>
      <c r="J67" s="64">
        <f t="shared" si="4"/>
        <v>753.45447349360086</v>
      </c>
      <c r="K67" s="64">
        <f t="shared" si="9"/>
        <v>603.9404202654797</v>
      </c>
      <c r="L67" s="64">
        <f t="shared" si="5"/>
        <v>744.0753721638049</v>
      </c>
      <c r="M67" s="64">
        <f t="shared" si="10"/>
        <v>596.4224897227557</v>
      </c>
      <c r="N67" s="64" cm="1">
        <f t="array" ref="N67">_xlfn.IFS($D$9="Low",'SS Water_CM'!$H90,$D$9="Medium",'SS Water_CM'!$I90,$D$9="High",'SS Water_CM'!$J90)</f>
        <v>375.22927984926247</v>
      </c>
      <c r="O67" s="64">
        <f t="shared" si="6"/>
        <v>0</v>
      </c>
      <c r="P67" s="64">
        <f>'SS Desalin_Water'!$D$11</f>
        <v>315.45000000000005</v>
      </c>
      <c r="Q67" s="64">
        <f t="shared" si="11"/>
        <v>690.67927984926246</v>
      </c>
      <c r="R67" s="64">
        <f>'SS NEWater'!$D$12</f>
        <v>247.39999999999998</v>
      </c>
    </row>
    <row r="68" spans="2:18">
      <c r="B68" s="6">
        <v>2060</v>
      </c>
      <c r="C68" s="3" cm="1">
        <f t="array" ref="C68">_xlfn.IFS($D$8="Low",'Pop FCST'!C68,$D$8="Medium",'Pop FCST'!D68,$D$8="High",'Pop FCST'!E68)</f>
        <v>9093178.9756263625</v>
      </c>
      <c r="D68" s="64">
        <f t="shared" si="0"/>
        <v>787.94993194410483</v>
      </c>
      <c r="E68" s="64">
        <f t="shared" si="7"/>
        <v>652.2184744893591</v>
      </c>
      <c r="F68" s="64">
        <f t="shared" si="1"/>
        <v>778.49453276077566</v>
      </c>
      <c r="G68" s="64">
        <f t="shared" si="2"/>
        <v>644.39185279548656</v>
      </c>
      <c r="H68" s="64">
        <f t="shared" si="3"/>
        <v>769.03913357744648</v>
      </c>
      <c r="I68" s="64">
        <f t="shared" si="8"/>
        <v>636.56523110161424</v>
      </c>
      <c r="J68" s="64">
        <f t="shared" si="4"/>
        <v>759.58373439411696</v>
      </c>
      <c r="K68" s="64">
        <f t="shared" si="9"/>
        <v>628.73860940774216</v>
      </c>
      <c r="L68" s="64">
        <f t="shared" si="5"/>
        <v>750.12833521078767</v>
      </c>
      <c r="M68" s="64">
        <f t="shared" si="10"/>
        <v>620.91198771386973</v>
      </c>
      <c r="N68" s="64" cm="1">
        <f t="array" ref="N68">_xlfn.IFS($D$9="Low",'SS Water_CM'!$H91,$D$9="Medium",'SS Water_CM'!$I91,$D$9="High",'SS Water_CM'!$J91)</f>
        <v>377.88107688000002</v>
      </c>
      <c r="O68" s="64">
        <f t="shared" si="6"/>
        <v>0</v>
      </c>
      <c r="P68" s="64">
        <f>'SS Desalin_Water'!$D$11</f>
        <v>315.45000000000005</v>
      </c>
      <c r="Q68" s="64">
        <f t="shared" si="11"/>
        <v>693.33107688000007</v>
      </c>
      <c r="R68" s="64">
        <f>'SS NEWater'!$D$12</f>
        <v>247.39999999999998</v>
      </c>
    </row>
    <row r="69" spans="2:18">
      <c r="B69" s="6">
        <v>2061</v>
      </c>
      <c r="C69" s="3" cm="1">
        <f t="array" ref="C69">_xlfn.IFS($D$8="Low",'Pop FCST'!C69,$D$8="Medium",'Pop FCST'!D69,$D$8="High",'Pop FCST'!E69)</f>
        <v>9192287.1358411238</v>
      </c>
      <c r="D69" s="64">
        <f t="shared" si="0"/>
        <v>796.53793711871401</v>
      </c>
      <c r="E69" s="64">
        <f t="shared" si="7"/>
        <v>659.32711858819198</v>
      </c>
      <c r="F69" s="64">
        <f t="shared" si="1"/>
        <v>786.97948187328939</v>
      </c>
      <c r="G69" s="64">
        <f t="shared" si="2"/>
        <v>651.41519316513359</v>
      </c>
      <c r="H69" s="64">
        <f t="shared" si="3"/>
        <v>777.42102662786476</v>
      </c>
      <c r="I69" s="64">
        <f t="shared" si="8"/>
        <v>643.50326774207554</v>
      </c>
      <c r="J69" s="64">
        <f t="shared" si="4"/>
        <v>767.86257138244036</v>
      </c>
      <c r="K69" s="64">
        <f t="shared" si="9"/>
        <v>635.59134231901703</v>
      </c>
      <c r="L69" s="64">
        <f t="shared" si="5"/>
        <v>758.30411613701563</v>
      </c>
      <c r="M69" s="64">
        <f t="shared" si="10"/>
        <v>627.67941689595875</v>
      </c>
      <c r="N69" s="64" cm="1">
        <f t="array" ref="N69">_xlfn.IFS($D$9="Low",'SS Water_CM'!$H92,$D$9="Medium",'SS Water_CM'!$I92,$D$9="High",'SS Water_CM'!$J92)</f>
        <v>377.88107688000002</v>
      </c>
      <c r="O69" s="64">
        <f t="shared" si="6"/>
        <v>0</v>
      </c>
      <c r="P69" s="64">
        <f>'SS Desalin_Water'!$D$11</f>
        <v>315.45000000000005</v>
      </c>
      <c r="Q69" s="64">
        <f t="shared" si="11"/>
        <v>693.33107688000007</v>
      </c>
      <c r="R69" s="64">
        <f>'SS NEWater'!$D$12</f>
        <v>247.39999999999998</v>
      </c>
    </row>
    <row r="70" spans="2:18">
      <c r="B70" s="6">
        <v>2062</v>
      </c>
      <c r="C70" s="3" cm="1">
        <f t="array" ref="C70">_xlfn.IFS($D$8="Low",'Pop FCST'!C70,$D$8="Medium",'Pop FCST'!D70,$D$8="High",'Pop FCST'!E70)</f>
        <v>9292148.518073516</v>
      </c>
      <c r="D70" s="64">
        <f t="shared" si="0"/>
        <v>805.1912111326501</v>
      </c>
      <c r="E70" s="64">
        <f t="shared" si="7"/>
        <v>666.48978838217613</v>
      </c>
      <c r="F70" s="64">
        <f t="shared" si="1"/>
        <v>795.52891659905833</v>
      </c>
      <c r="G70" s="64">
        <f t="shared" si="2"/>
        <v>658.49191092158969</v>
      </c>
      <c r="H70" s="64">
        <f t="shared" si="3"/>
        <v>785.86662206546646</v>
      </c>
      <c r="I70" s="64">
        <f t="shared" si="8"/>
        <v>650.49403346100371</v>
      </c>
      <c r="J70" s="64">
        <f t="shared" si="4"/>
        <v>776.2043275318747</v>
      </c>
      <c r="K70" s="64">
        <f t="shared" si="9"/>
        <v>642.49615600041784</v>
      </c>
      <c r="L70" s="64">
        <f t="shared" si="5"/>
        <v>766.54203299828293</v>
      </c>
      <c r="M70" s="64">
        <f t="shared" si="10"/>
        <v>634.49827853983129</v>
      </c>
      <c r="N70" s="64" cm="1">
        <f t="array" ref="N70">_xlfn.IFS($D$9="Low",'SS Water_CM'!$H93,$D$9="Medium",'SS Water_CM'!$I93,$D$9="High",'SS Water_CM'!$J93)</f>
        <v>377.88107688000002</v>
      </c>
      <c r="O70" s="64">
        <f t="shared" si="6"/>
        <v>0</v>
      </c>
      <c r="P70" s="64">
        <f>'SS Desalin_Water'!$D$11</f>
        <v>315.45000000000005</v>
      </c>
      <c r="Q70" s="64">
        <f t="shared" si="11"/>
        <v>693.33107688000007</v>
      </c>
      <c r="R70" s="64">
        <f>'SS NEWater'!$D$12</f>
        <v>247.39999999999998</v>
      </c>
    </row>
    <row r="71" spans="2:18">
      <c r="B71" s="6">
        <v>2063</v>
      </c>
      <c r="C71" s="3" cm="1">
        <f t="array" ref="C71">_xlfn.IFS($D$8="Low",'Pop FCST'!C71,$D$8="Medium",'Pop FCST'!D71,$D$8="High",'Pop FCST'!E71)</f>
        <v>9392768.8468108755</v>
      </c>
      <c r="D71" s="64">
        <f t="shared" si="0"/>
        <v>813.91025002909225</v>
      </c>
      <c r="E71" s="64">
        <f t="shared" si="7"/>
        <v>673.70689446659435</v>
      </c>
      <c r="F71" s="64">
        <f t="shared" si="1"/>
        <v>804.1433270287431</v>
      </c>
      <c r="G71" s="64">
        <f t="shared" si="2"/>
        <v>665.62241173299526</v>
      </c>
      <c r="H71" s="64">
        <f t="shared" si="3"/>
        <v>794.37640402839406</v>
      </c>
      <c r="I71" s="64">
        <f t="shared" si="8"/>
        <v>657.53792899939594</v>
      </c>
      <c r="J71" s="64">
        <f t="shared" si="4"/>
        <v>784.60948102804502</v>
      </c>
      <c r="K71" s="64">
        <f t="shared" si="9"/>
        <v>649.45344626579697</v>
      </c>
      <c r="L71" s="64">
        <f t="shared" si="5"/>
        <v>774.84255802769565</v>
      </c>
      <c r="M71" s="64">
        <f t="shared" si="10"/>
        <v>641.36896353219777</v>
      </c>
      <c r="N71" s="64" cm="1">
        <f t="array" ref="N71">_xlfn.IFS($D$9="Low",'SS Water_CM'!$H94,$D$9="Medium",'SS Water_CM'!$I94,$D$9="High",'SS Water_CM'!$J94)</f>
        <v>377.88107688000002</v>
      </c>
      <c r="O71" s="64">
        <f t="shared" si="6"/>
        <v>0</v>
      </c>
      <c r="P71" s="64">
        <f>'SS Desalin_Water'!$D$11</f>
        <v>315.45000000000005</v>
      </c>
      <c r="Q71" s="64">
        <f t="shared" si="11"/>
        <v>693.33107688000007</v>
      </c>
      <c r="R71" s="64">
        <f>'SS NEWater'!$D$12</f>
        <v>247.39999999999998</v>
      </c>
    </row>
    <row r="72" spans="2:18">
      <c r="B72" s="6">
        <v>2064</v>
      </c>
      <c r="C72" s="3" cm="1">
        <f t="array" ref="C72">_xlfn.IFS($D$8="Low",'Pop FCST'!C72,$D$8="Medium",'Pop FCST'!D72,$D$8="High",'Pop FCST'!E72)</f>
        <v>9494153.8900466394</v>
      </c>
      <c r="D72" s="64">
        <f t="shared" si="0"/>
        <v>822.69555362114727</v>
      </c>
      <c r="E72" s="64">
        <f t="shared" si="7"/>
        <v>680.97885055725442</v>
      </c>
      <c r="F72" s="64">
        <f t="shared" si="1"/>
        <v>812.82320697769353</v>
      </c>
      <c r="G72" s="64">
        <f t="shared" si="2"/>
        <v>672.80710435056722</v>
      </c>
      <c r="H72" s="64">
        <f t="shared" si="3"/>
        <v>802.95086033423979</v>
      </c>
      <c r="I72" s="64">
        <f t="shared" si="8"/>
        <v>664.63535814388013</v>
      </c>
      <c r="J72" s="64">
        <f t="shared" si="4"/>
        <v>793.07851369078605</v>
      </c>
      <c r="K72" s="64">
        <f t="shared" si="9"/>
        <v>656.46361193719326</v>
      </c>
      <c r="L72" s="64">
        <f t="shared" si="5"/>
        <v>783.2061670473322</v>
      </c>
      <c r="M72" s="64">
        <f t="shared" si="10"/>
        <v>648.29186573050617</v>
      </c>
      <c r="N72" s="64" cm="1">
        <f t="array" ref="N72">_xlfn.IFS($D$9="Low",'SS Water_CM'!$H95,$D$9="Medium",'SS Water_CM'!$I95,$D$9="High",'SS Water_CM'!$J95)</f>
        <v>377.88107688000002</v>
      </c>
      <c r="O72" s="64">
        <f t="shared" si="6"/>
        <v>0</v>
      </c>
      <c r="P72" s="64">
        <f>'SS Desalin_Water'!$D$11</f>
        <v>315.45000000000005</v>
      </c>
      <c r="Q72" s="64">
        <f t="shared" si="11"/>
        <v>693.33107688000007</v>
      </c>
      <c r="R72" s="64">
        <f>'SS NEWater'!$D$12</f>
        <v>247.39999999999998</v>
      </c>
    </row>
    <row r="73" spans="2:18">
      <c r="B73" s="6">
        <v>2065</v>
      </c>
      <c r="C73" s="3" cm="1">
        <f t="array" ref="C73">_xlfn.IFS($D$8="Low",'Pop FCST'!C73,$D$8="Medium",'Pop FCST'!D73,$D$8="High",'Pop FCST'!E73)</f>
        <v>9596309.4596109949</v>
      </c>
      <c r="D73" s="64">
        <f t="shared" si="0"/>
        <v>831.54762552050215</v>
      </c>
      <c r="E73" s="64">
        <f t="shared" si="7"/>
        <v>688.30607351420326</v>
      </c>
      <c r="F73" s="64">
        <f t="shared" si="1"/>
        <v>821.56905401425593</v>
      </c>
      <c r="G73" s="64">
        <f t="shared" si="2"/>
        <v>680.04640063203294</v>
      </c>
      <c r="H73" s="64">
        <f t="shared" si="3"/>
        <v>811.59048250801004</v>
      </c>
      <c r="I73" s="64">
        <f t="shared" si="8"/>
        <v>671.78672774986239</v>
      </c>
      <c r="J73" s="64">
        <f t="shared" si="4"/>
        <v>801.61191100176393</v>
      </c>
      <c r="K73" s="64">
        <f t="shared" si="9"/>
        <v>663.52705486769219</v>
      </c>
      <c r="L73" s="64">
        <f t="shared" si="5"/>
        <v>791.63333949551782</v>
      </c>
      <c r="M73" s="64">
        <f t="shared" si="10"/>
        <v>655.26738198552175</v>
      </c>
      <c r="N73" s="64" cm="1">
        <f t="array" ref="N73">_xlfn.IFS($D$9="Low",'SS Water_CM'!$H96,$D$9="Medium",'SS Water_CM'!$I96,$D$9="High",'SS Water_CM'!$J96)</f>
        <v>377.88107688000002</v>
      </c>
      <c r="O73" s="64">
        <f t="shared" si="6"/>
        <v>0</v>
      </c>
      <c r="P73" s="64">
        <f>'SS Desalin_Water'!$D$11</f>
        <v>315.45000000000005</v>
      </c>
      <c r="Q73" s="64">
        <f t="shared" si="11"/>
        <v>693.33107688000007</v>
      </c>
      <c r="R73" s="64">
        <f>'SS NEWater'!$D$12</f>
        <v>247.39999999999998</v>
      </c>
    </row>
    <row r="74" spans="2:18">
      <c r="B74" s="7"/>
      <c r="C74" s="47"/>
      <c r="D74" s="48"/>
      <c r="E74" s="48"/>
      <c r="F74" s="49"/>
      <c r="G74" s="49"/>
      <c r="I74" s="7"/>
      <c r="J74" s="45"/>
      <c r="M74" s="7"/>
    </row>
    <row r="75" spans="2:18" ht="14.4">
      <c r="B75" s="10" t="s">
        <v>169</v>
      </c>
      <c r="E75" s="10"/>
    </row>
    <row r="76" spans="2:18" ht="14.4">
      <c r="B76" s="10"/>
      <c r="C76" s="14" t="s">
        <v>67</v>
      </c>
      <c r="D76" s="14" t="s">
        <v>67</v>
      </c>
      <c r="E76" s="14" t="s">
        <v>67</v>
      </c>
      <c r="F76" s="14" t="s">
        <v>67</v>
      </c>
      <c r="G76" s="14" t="s">
        <v>67</v>
      </c>
      <c r="H76" s="14"/>
    </row>
    <row r="77" spans="2:18">
      <c r="B77" s="205" t="s">
        <v>25</v>
      </c>
      <c r="C77" s="202" t="s">
        <v>176</v>
      </c>
      <c r="D77" s="203"/>
      <c r="E77" s="203"/>
      <c r="F77" s="203"/>
      <c r="G77" s="204"/>
      <c r="H77" s="194" t="s">
        <v>173</v>
      </c>
      <c r="I77" s="171" t="s">
        <v>174</v>
      </c>
    </row>
    <row r="78" spans="2:18">
      <c r="B78" s="206"/>
      <c r="C78" s="113">
        <v>0</v>
      </c>
      <c r="D78" s="113">
        <v>0.03</v>
      </c>
      <c r="E78" s="114">
        <v>0.06</v>
      </c>
      <c r="F78" s="114">
        <v>0.09</v>
      </c>
      <c r="G78" s="114">
        <v>0.12</v>
      </c>
      <c r="H78" s="207"/>
      <c r="I78" s="171"/>
    </row>
    <row r="79" spans="2:18">
      <c r="B79" s="6">
        <v>2021</v>
      </c>
      <c r="C79" s="42">
        <f t="shared" ref="C79:C87" si="12">IF(B79=2021, $D$5-($D$5-$C$88)/COUNT($B$79:$B$88),C78-($D$5-$C$88)/COUNT($B$79:$B$88))</f>
        <v>5.5508242579285582E-5</v>
      </c>
      <c r="D79" s="42">
        <f t="shared" ref="D79:G98" si="13">IF($B79&gt;=$D$17,$C79*(1-D$78*$D$18),$C79)</f>
        <v>5.5508242579285582E-5</v>
      </c>
      <c r="E79" s="42">
        <f t="shared" si="13"/>
        <v>5.5508242579285582E-5</v>
      </c>
      <c r="F79" s="42">
        <f t="shared" si="13"/>
        <v>5.5508242579285582E-5</v>
      </c>
      <c r="G79" s="42">
        <f t="shared" si="13"/>
        <v>5.5508242579285582E-5</v>
      </c>
      <c r="H79" s="109">
        <f>'DD Water_Total'!K42</f>
        <v>0.48465931634365944</v>
      </c>
      <c r="I79" s="109">
        <f>'DD Water_Total'!L42</f>
        <v>0.51534068365634056</v>
      </c>
    </row>
    <row r="80" spans="2:18">
      <c r="B80" s="6">
        <v>2022</v>
      </c>
      <c r="C80" s="42">
        <f t="shared" si="12"/>
        <v>5.461288229269829E-5</v>
      </c>
      <c r="D80" s="42">
        <f t="shared" si="13"/>
        <v>5.461288229269829E-5</v>
      </c>
      <c r="E80" s="42">
        <f t="shared" si="13"/>
        <v>5.461288229269829E-5</v>
      </c>
      <c r="F80" s="42">
        <f t="shared" si="13"/>
        <v>5.461288229269829E-5</v>
      </c>
      <c r="G80" s="42">
        <f t="shared" si="13"/>
        <v>5.461288229269829E-5</v>
      </c>
      <c r="H80" s="109">
        <f>'DD Water_Total'!K43</f>
        <v>0.47992446207843742</v>
      </c>
      <c r="I80" s="109">
        <f>'DD Water_Total'!L43</f>
        <v>0.52007553792156258</v>
      </c>
    </row>
    <row r="81" spans="2:9">
      <c r="B81" s="6">
        <v>2023</v>
      </c>
      <c r="C81" s="42">
        <f t="shared" si="12"/>
        <v>5.3717522006110999E-5</v>
      </c>
      <c r="D81" s="42">
        <f t="shared" si="13"/>
        <v>5.3717522006110999E-5</v>
      </c>
      <c r="E81" s="42">
        <f t="shared" si="13"/>
        <v>5.3717522006110999E-5</v>
      </c>
      <c r="F81" s="42">
        <f t="shared" si="13"/>
        <v>5.3717522006110999E-5</v>
      </c>
      <c r="G81" s="42">
        <f t="shared" si="13"/>
        <v>5.3717522006110999E-5</v>
      </c>
      <c r="H81" s="109">
        <f>'DD Water_Total'!K44</f>
        <v>0.4751896078132154</v>
      </c>
      <c r="I81" s="109">
        <f>'DD Water_Total'!L44</f>
        <v>0.5248103921867846</v>
      </c>
    </row>
    <row r="82" spans="2:9">
      <c r="B82" s="6">
        <v>2024</v>
      </c>
      <c r="C82" s="42">
        <f t="shared" si="12"/>
        <v>5.2822161719523708E-5</v>
      </c>
      <c r="D82" s="42">
        <f t="shared" si="13"/>
        <v>5.2822161719523708E-5</v>
      </c>
      <c r="E82" s="42">
        <f t="shared" si="13"/>
        <v>5.2822161719523708E-5</v>
      </c>
      <c r="F82" s="42">
        <f t="shared" si="13"/>
        <v>5.2822161719523708E-5</v>
      </c>
      <c r="G82" s="42">
        <f t="shared" si="13"/>
        <v>5.2822161719523708E-5</v>
      </c>
      <c r="H82" s="109">
        <f>'DD Water_Total'!K45</f>
        <v>0.47045475354799338</v>
      </c>
      <c r="I82" s="109">
        <f>'DD Water_Total'!L45</f>
        <v>0.52954524645200662</v>
      </c>
    </row>
    <row r="83" spans="2:9">
      <c r="B83" s="6">
        <v>2025</v>
      </c>
      <c r="C83" s="42">
        <f t="shared" si="12"/>
        <v>5.1926801432936417E-5</v>
      </c>
      <c r="D83" s="42">
        <f t="shared" si="13"/>
        <v>5.1926801432936417E-5</v>
      </c>
      <c r="E83" s="42">
        <f t="shared" si="13"/>
        <v>5.1926801432936417E-5</v>
      </c>
      <c r="F83" s="42">
        <f t="shared" si="13"/>
        <v>5.1926801432936417E-5</v>
      </c>
      <c r="G83" s="42">
        <f t="shared" si="13"/>
        <v>5.1926801432936417E-5</v>
      </c>
      <c r="H83" s="109">
        <f>'DD Water_Total'!K46</f>
        <v>0.46571989928277135</v>
      </c>
      <c r="I83" s="109">
        <f>'DD Water_Total'!L46</f>
        <v>0.53428010071722865</v>
      </c>
    </row>
    <row r="84" spans="2:9">
      <c r="B84" s="6">
        <v>2026</v>
      </c>
      <c r="C84" s="42">
        <f t="shared" si="12"/>
        <v>5.1031441146349126E-5</v>
      </c>
      <c r="D84" s="42">
        <f t="shared" si="13"/>
        <v>5.1031441146349126E-5</v>
      </c>
      <c r="E84" s="42">
        <f t="shared" si="13"/>
        <v>5.1031441146349126E-5</v>
      </c>
      <c r="F84" s="42">
        <f t="shared" si="13"/>
        <v>5.1031441146349126E-5</v>
      </c>
      <c r="G84" s="42">
        <f t="shared" si="13"/>
        <v>5.1031441146349126E-5</v>
      </c>
      <c r="H84" s="109">
        <f>'DD Water_Total'!K47</f>
        <v>0.46098504501754933</v>
      </c>
      <c r="I84" s="109">
        <f>'DD Water_Total'!L47</f>
        <v>0.53901495498245067</v>
      </c>
    </row>
    <row r="85" spans="2:9">
      <c r="B85" s="6">
        <v>2027</v>
      </c>
      <c r="C85" s="42">
        <f t="shared" si="12"/>
        <v>5.0136080859761834E-5</v>
      </c>
      <c r="D85" s="42">
        <f t="shared" si="13"/>
        <v>5.0136080859761834E-5</v>
      </c>
      <c r="E85" s="42">
        <f t="shared" si="13"/>
        <v>5.0136080859761834E-5</v>
      </c>
      <c r="F85" s="42">
        <f t="shared" si="13"/>
        <v>5.0136080859761834E-5</v>
      </c>
      <c r="G85" s="42">
        <f t="shared" si="13"/>
        <v>5.0136080859761834E-5</v>
      </c>
      <c r="H85" s="109">
        <f>'DD Water_Total'!K48</f>
        <v>0.45625019075232731</v>
      </c>
      <c r="I85" s="109">
        <f>'DD Water_Total'!L48</f>
        <v>0.54374980924767269</v>
      </c>
    </row>
    <row r="86" spans="2:9">
      <c r="B86" s="6">
        <v>2028</v>
      </c>
      <c r="C86" s="42">
        <f t="shared" si="12"/>
        <v>4.9240720573174543E-5</v>
      </c>
      <c r="D86" s="42">
        <f t="shared" si="13"/>
        <v>4.9240720573174543E-5</v>
      </c>
      <c r="E86" s="42">
        <f t="shared" si="13"/>
        <v>4.9240720573174543E-5</v>
      </c>
      <c r="F86" s="42">
        <f t="shared" si="13"/>
        <v>4.9240720573174543E-5</v>
      </c>
      <c r="G86" s="42">
        <f t="shared" si="13"/>
        <v>4.9240720573174543E-5</v>
      </c>
      <c r="H86" s="109">
        <f>'DD Water_Total'!K49</f>
        <v>0.45151533648710529</v>
      </c>
      <c r="I86" s="109">
        <f>'DD Water_Total'!L49</f>
        <v>0.54848466351289471</v>
      </c>
    </row>
    <row r="87" spans="2:9">
      <c r="B87" s="6">
        <v>2029</v>
      </c>
      <c r="C87" s="42">
        <f t="shared" si="12"/>
        <v>4.8345360286587252E-5</v>
      </c>
      <c r="D87" s="42">
        <f t="shared" si="13"/>
        <v>4.8345360286587252E-5</v>
      </c>
      <c r="E87" s="42">
        <f t="shared" si="13"/>
        <v>4.8345360286587252E-5</v>
      </c>
      <c r="F87" s="42">
        <f t="shared" si="13"/>
        <v>4.8345360286587252E-5</v>
      </c>
      <c r="G87" s="42">
        <f t="shared" si="13"/>
        <v>4.8345360286587252E-5</v>
      </c>
      <c r="H87" s="109">
        <f>'DD Water_Total'!K50</f>
        <v>0.44678048222188327</v>
      </c>
      <c r="I87" s="109">
        <f>'DD Water_Total'!L50</f>
        <v>0.55321951777811673</v>
      </c>
    </row>
    <row r="88" spans="2:9">
      <c r="B88" s="6">
        <v>2030</v>
      </c>
      <c r="C88" s="53">
        <f>D13</f>
        <v>4.7449999999999988E-5</v>
      </c>
      <c r="D88" s="42">
        <f t="shared" si="13"/>
        <v>4.7449999999999988E-5</v>
      </c>
      <c r="E88" s="42">
        <f t="shared" si="13"/>
        <v>4.7449999999999988E-5</v>
      </c>
      <c r="F88" s="42">
        <f t="shared" si="13"/>
        <v>4.7449999999999988E-5</v>
      </c>
      <c r="G88" s="42">
        <f t="shared" si="13"/>
        <v>4.7449999999999988E-5</v>
      </c>
      <c r="H88" s="109">
        <f>'DD Water_Total'!K51</f>
        <v>0.44204562795666125</v>
      </c>
      <c r="I88" s="109">
        <f>'DD Water_Total'!L51</f>
        <v>0.55795437204333875</v>
      </c>
    </row>
    <row r="89" spans="2:9">
      <c r="B89" s="6">
        <v>2031</v>
      </c>
      <c r="C89" s="42">
        <f t="shared" ref="C89:C117" si="14">C88-($C$88-$C$118)/COUNT($B$89:$B$118)</f>
        <v>4.7328333333333319E-5</v>
      </c>
      <c r="D89" s="42">
        <f t="shared" si="13"/>
        <v>4.7328333333333319E-5</v>
      </c>
      <c r="E89" s="42">
        <f t="shared" si="13"/>
        <v>4.7328333333333319E-5</v>
      </c>
      <c r="F89" s="42">
        <f t="shared" si="13"/>
        <v>4.7328333333333319E-5</v>
      </c>
      <c r="G89" s="42">
        <f t="shared" si="13"/>
        <v>4.7328333333333319E-5</v>
      </c>
      <c r="H89" s="109">
        <f>'DD Water_Total'!K52</f>
        <v>0.43731077369143923</v>
      </c>
      <c r="I89" s="109">
        <f>'DD Water_Total'!L52</f>
        <v>0.56268922630856077</v>
      </c>
    </row>
    <row r="90" spans="2:9">
      <c r="B90" s="6">
        <v>2032</v>
      </c>
      <c r="C90" s="42">
        <f t="shared" si="14"/>
        <v>4.720666666666665E-5</v>
      </c>
      <c r="D90" s="42">
        <f t="shared" si="13"/>
        <v>4.720666666666665E-5</v>
      </c>
      <c r="E90" s="42">
        <f t="shared" si="13"/>
        <v>4.720666666666665E-5</v>
      </c>
      <c r="F90" s="42">
        <f t="shared" si="13"/>
        <v>4.720666666666665E-5</v>
      </c>
      <c r="G90" s="42">
        <f t="shared" si="13"/>
        <v>4.720666666666665E-5</v>
      </c>
      <c r="H90" s="109">
        <f>'DD Water_Total'!K53</f>
        <v>0.4325759194262172</v>
      </c>
      <c r="I90" s="109">
        <f>'DD Water_Total'!L53</f>
        <v>0.5674240805737828</v>
      </c>
    </row>
    <row r="91" spans="2:9">
      <c r="B91" s="6">
        <v>2033</v>
      </c>
      <c r="C91" s="42">
        <f t="shared" si="14"/>
        <v>4.708499999999998E-5</v>
      </c>
      <c r="D91" s="42">
        <f t="shared" si="13"/>
        <v>4.708499999999998E-5</v>
      </c>
      <c r="E91" s="42">
        <f t="shared" si="13"/>
        <v>4.708499999999998E-5</v>
      </c>
      <c r="F91" s="42">
        <f t="shared" si="13"/>
        <v>4.708499999999998E-5</v>
      </c>
      <c r="G91" s="42">
        <f t="shared" si="13"/>
        <v>4.708499999999998E-5</v>
      </c>
      <c r="H91" s="109">
        <f>'DD Water_Total'!K54</f>
        <v>0.42784106516099518</v>
      </c>
      <c r="I91" s="109">
        <f>'DD Water_Total'!L54</f>
        <v>0.57215893483900482</v>
      </c>
    </row>
    <row r="92" spans="2:9">
      <c r="B92" s="6">
        <v>2034</v>
      </c>
      <c r="C92" s="42">
        <f t="shared" si="14"/>
        <v>4.6963333333333311E-5</v>
      </c>
      <c r="D92" s="42">
        <f t="shared" si="13"/>
        <v>4.6963333333333311E-5</v>
      </c>
      <c r="E92" s="42">
        <f t="shared" si="13"/>
        <v>4.6963333333333311E-5</v>
      </c>
      <c r="F92" s="42">
        <f t="shared" si="13"/>
        <v>4.6963333333333311E-5</v>
      </c>
      <c r="G92" s="42">
        <f t="shared" si="13"/>
        <v>4.6963333333333311E-5</v>
      </c>
      <c r="H92" s="109">
        <f>'DD Water_Total'!K55</f>
        <v>0.42310621089577316</v>
      </c>
      <c r="I92" s="109">
        <f>'DD Water_Total'!L55</f>
        <v>0.57689378910422684</v>
      </c>
    </row>
    <row r="93" spans="2:9">
      <c r="B93" s="6">
        <v>2035</v>
      </c>
      <c r="C93" s="42">
        <f t="shared" si="14"/>
        <v>4.6841666666666642E-5</v>
      </c>
      <c r="D93" s="42">
        <f t="shared" si="13"/>
        <v>4.6841666666666642E-5</v>
      </c>
      <c r="E93" s="42">
        <f t="shared" si="13"/>
        <v>4.6841666666666642E-5</v>
      </c>
      <c r="F93" s="42">
        <f t="shared" si="13"/>
        <v>4.6841666666666642E-5</v>
      </c>
      <c r="G93" s="42">
        <f t="shared" si="13"/>
        <v>4.6841666666666642E-5</v>
      </c>
      <c r="H93" s="109">
        <f>'DD Water_Total'!K56</f>
        <v>0.41837135663055114</v>
      </c>
      <c r="I93" s="109">
        <f>'DD Water_Total'!L56</f>
        <v>0.58162864336944886</v>
      </c>
    </row>
    <row r="94" spans="2:9">
      <c r="B94" s="6">
        <v>2036</v>
      </c>
      <c r="C94" s="42">
        <f t="shared" si="14"/>
        <v>4.6719999999999973E-5</v>
      </c>
      <c r="D94" s="42">
        <f t="shared" si="13"/>
        <v>4.6719999999999973E-5</v>
      </c>
      <c r="E94" s="42">
        <f t="shared" si="13"/>
        <v>4.6719999999999973E-5</v>
      </c>
      <c r="F94" s="42">
        <f t="shared" si="13"/>
        <v>4.6719999999999973E-5</v>
      </c>
      <c r="G94" s="42">
        <f t="shared" si="13"/>
        <v>4.6719999999999973E-5</v>
      </c>
      <c r="H94" s="109">
        <f>'DD Water_Total'!K57</f>
        <v>0.41363650236532912</v>
      </c>
      <c r="I94" s="109">
        <f>'DD Water_Total'!L57</f>
        <v>0.58636349763467088</v>
      </c>
    </row>
    <row r="95" spans="2:9">
      <c r="B95" s="6">
        <v>2037</v>
      </c>
      <c r="C95" s="42">
        <f t="shared" si="14"/>
        <v>4.6598333333333304E-5</v>
      </c>
      <c r="D95" s="42">
        <f t="shared" si="13"/>
        <v>4.6598333333333304E-5</v>
      </c>
      <c r="E95" s="42">
        <f t="shared" si="13"/>
        <v>4.6598333333333304E-5</v>
      </c>
      <c r="F95" s="42">
        <f t="shared" si="13"/>
        <v>4.6598333333333304E-5</v>
      </c>
      <c r="G95" s="42">
        <f t="shared" si="13"/>
        <v>4.6598333333333304E-5</v>
      </c>
      <c r="H95" s="109">
        <f>'DD Water_Total'!K58</f>
        <v>0.4089016481001071</v>
      </c>
      <c r="I95" s="109">
        <f>'DD Water_Total'!L58</f>
        <v>0.5910983518998929</v>
      </c>
    </row>
    <row r="96" spans="2:9">
      <c r="B96" s="6">
        <v>2038</v>
      </c>
      <c r="C96" s="42">
        <f t="shared" si="14"/>
        <v>4.6476666666666634E-5</v>
      </c>
      <c r="D96" s="42">
        <f t="shared" si="13"/>
        <v>4.6476666666666634E-5</v>
      </c>
      <c r="E96" s="42">
        <f t="shared" si="13"/>
        <v>4.6476666666666634E-5</v>
      </c>
      <c r="F96" s="42">
        <f t="shared" si="13"/>
        <v>4.6476666666666634E-5</v>
      </c>
      <c r="G96" s="42">
        <f t="shared" si="13"/>
        <v>4.6476666666666634E-5</v>
      </c>
      <c r="H96" s="109">
        <f>'DD Water_Total'!K59</f>
        <v>0.40416679383488507</v>
      </c>
      <c r="I96" s="109">
        <f>'DD Water_Total'!L59</f>
        <v>0.59583320616511493</v>
      </c>
    </row>
    <row r="97" spans="2:9">
      <c r="B97" s="6">
        <v>2039</v>
      </c>
      <c r="C97" s="42">
        <f t="shared" si="14"/>
        <v>4.6354999999999965E-5</v>
      </c>
      <c r="D97" s="42">
        <f t="shared" si="13"/>
        <v>4.6354999999999965E-5</v>
      </c>
      <c r="E97" s="42">
        <f t="shared" si="13"/>
        <v>4.6354999999999965E-5</v>
      </c>
      <c r="F97" s="42">
        <f t="shared" si="13"/>
        <v>4.6354999999999965E-5</v>
      </c>
      <c r="G97" s="42">
        <f t="shared" si="13"/>
        <v>4.6354999999999965E-5</v>
      </c>
      <c r="H97" s="109">
        <f>'DD Water_Total'!K60</f>
        <v>0.39943193956966305</v>
      </c>
      <c r="I97" s="109">
        <f>'DD Water_Total'!L60</f>
        <v>0.60056806043033695</v>
      </c>
    </row>
    <row r="98" spans="2:9">
      <c r="B98" s="6">
        <v>2040</v>
      </c>
      <c r="C98" s="42">
        <f t="shared" si="14"/>
        <v>4.6233333333333296E-5</v>
      </c>
      <c r="D98" s="141">
        <f t="shared" si="13"/>
        <v>4.5678533333333299E-5</v>
      </c>
      <c r="E98" s="141">
        <f t="shared" si="13"/>
        <v>4.5123733333333296E-5</v>
      </c>
      <c r="F98" s="141">
        <f t="shared" si="13"/>
        <v>4.4568933333333299E-5</v>
      </c>
      <c r="G98" s="141">
        <f t="shared" si="13"/>
        <v>4.4014133333333295E-5</v>
      </c>
      <c r="H98" s="109">
        <f>'DD Water_Total'!K61</f>
        <v>0.39469708530444103</v>
      </c>
      <c r="I98" s="109">
        <f>'DD Water_Total'!L61</f>
        <v>0.60530291469555897</v>
      </c>
    </row>
    <row r="99" spans="2:9">
      <c r="B99" s="6">
        <v>2041</v>
      </c>
      <c r="C99" s="42">
        <f t="shared" si="14"/>
        <v>4.6111666666666627E-5</v>
      </c>
      <c r="D99" s="42">
        <f t="shared" ref="D99:G123" si="15">IF($B99&gt;=$D$17,$C99*(1-D$78*$D$18),$C99)</f>
        <v>4.5558326666666624E-5</v>
      </c>
      <c r="E99" s="42">
        <f t="shared" si="15"/>
        <v>4.5004986666666628E-5</v>
      </c>
      <c r="F99" s="42">
        <f t="shared" si="15"/>
        <v>4.4451646666666625E-5</v>
      </c>
      <c r="G99" s="42">
        <f t="shared" si="15"/>
        <v>4.3898306666666628E-5</v>
      </c>
      <c r="H99" s="109">
        <f>'DD Water_Total'!K62</f>
        <v>0.38996223103921901</v>
      </c>
      <c r="I99" s="109">
        <f>'DD Water_Total'!L62</f>
        <v>0.61003776896078099</v>
      </c>
    </row>
    <row r="100" spans="2:9">
      <c r="B100" s="6">
        <v>2042</v>
      </c>
      <c r="C100" s="42">
        <f t="shared" si="14"/>
        <v>4.5989999999999958E-5</v>
      </c>
      <c r="D100" s="42">
        <f t="shared" si="15"/>
        <v>4.5438119999999955E-5</v>
      </c>
      <c r="E100" s="42">
        <f t="shared" si="15"/>
        <v>4.4886239999999959E-5</v>
      </c>
      <c r="F100" s="42">
        <f t="shared" si="15"/>
        <v>4.4334359999999957E-5</v>
      </c>
      <c r="G100" s="42">
        <f t="shared" si="15"/>
        <v>4.3782479999999961E-5</v>
      </c>
      <c r="H100" s="109">
        <f>'DD Water_Total'!K63</f>
        <v>0.38522737677399699</v>
      </c>
      <c r="I100" s="109">
        <f>'DD Water_Total'!L63</f>
        <v>0.61477262322600301</v>
      </c>
    </row>
    <row r="101" spans="2:9">
      <c r="B101" s="6">
        <v>2043</v>
      </c>
      <c r="C101" s="42">
        <f t="shared" si="14"/>
        <v>4.5868333333333289E-5</v>
      </c>
      <c r="D101" s="42">
        <f t="shared" si="15"/>
        <v>4.5317913333333287E-5</v>
      </c>
      <c r="E101" s="42">
        <f t="shared" si="15"/>
        <v>4.4767493333333291E-5</v>
      </c>
      <c r="F101" s="42">
        <f t="shared" si="15"/>
        <v>4.4217073333333289E-5</v>
      </c>
      <c r="G101" s="42">
        <f t="shared" si="15"/>
        <v>4.3666653333333287E-5</v>
      </c>
      <c r="H101" s="109">
        <f>'DD Water_Total'!K64</f>
        <v>0.38049252250877497</v>
      </c>
      <c r="I101" s="109">
        <f>'DD Water_Total'!L64</f>
        <v>0.61950747749122503</v>
      </c>
    </row>
    <row r="102" spans="2:9">
      <c r="B102" s="6">
        <v>2044</v>
      </c>
      <c r="C102" s="42">
        <f t="shared" si="14"/>
        <v>4.5746666666666619E-5</v>
      </c>
      <c r="D102" s="42">
        <f t="shared" si="15"/>
        <v>4.5197706666666618E-5</v>
      </c>
      <c r="E102" s="42">
        <f t="shared" si="15"/>
        <v>4.4648746666666616E-5</v>
      </c>
      <c r="F102" s="42">
        <f t="shared" si="15"/>
        <v>4.4099786666666621E-5</v>
      </c>
      <c r="G102" s="42">
        <f t="shared" si="15"/>
        <v>4.355082666666662E-5</v>
      </c>
      <c r="H102" s="109">
        <f>'DD Water_Total'!K65</f>
        <v>0.37575766824355294</v>
      </c>
      <c r="I102" s="109">
        <f>'DD Water_Total'!L65</f>
        <v>0.62424233175644706</v>
      </c>
    </row>
    <row r="103" spans="2:9">
      <c r="B103" s="6">
        <v>2045</v>
      </c>
      <c r="C103" s="42">
        <f t="shared" si="14"/>
        <v>4.562499999999995E-5</v>
      </c>
      <c r="D103" s="42">
        <f t="shared" si="15"/>
        <v>4.5077499999999949E-5</v>
      </c>
      <c r="E103" s="42">
        <f t="shared" si="15"/>
        <v>4.4529999999999948E-5</v>
      </c>
      <c r="F103" s="42">
        <f t="shared" si="15"/>
        <v>4.3982499999999954E-5</v>
      </c>
      <c r="G103" s="42">
        <f t="shared" si="15"/>
        <v>4.3434999999999953E-5</v>
      </c>
      <c r="H103" s="109">
        <f>'DD Water_Total'!K66</f>
        <v>0.37102281397833092</v>
      </c>
      <c r="I103" s="109">
        <f>'DD Water_Total'!L66</f>
        <v>0.62897718602166908</v>
      </c>
    </row>
    <row r="104" spans="2:9">
      <c r="B104" s="6">
        <v>2046</v>
      </c>
      <c r="C104" s="42">
        <f t="shared" si="14"/>
        <v>4.5503333333333281E-5</v>
      </c>
      <c r="D104" s="42">
        <f t="shared" si="15"/>
        <v>4.495729333333328E-5</v>
      </c>
      <c r="E104" s="42">
        <f t="shared" si="15"/>
        <v>4.441125333333328E-5</v>
      </c>
      <c r="F104" s="42">
        <f t="shared" si="15"/>
        <v>4.3865213333333279E-5</v>
      </c>
      <c r="G104" s="42">
        <f t="shared" si="15"/>
        <v>4.3319173333333279E-5</v>
      </c>
      <c r="H104" s="109">
        <f>'DD Water_Total'!K67</f>
        <v>0.3662879597131089</v>
      </c>
      <c r="I104" s="109">
        <f>'DD Water_Total'!L67</f>
        <v>0.6337120402868911</v>
      </c>
    </row>
    <row r="105" spans="2:9">
      <c r="B105" s="6">
        <v>2047</v>
      </c>
      <c r="C105" s="42">
        <f t="shared" si="14"/>
        <v>4.5381666666666612E-5</v>
      </c>
      <c r="D105" s="42">
        <f t="shared" si="15"/>
        <v>4.4837086666666612E-5</v>
      </c>
      <c r="E105" s="42">
        <f t="shared" si="15"/>
        <v>4.4292506666666612E-5</v>
      </c>
      <c r="F105" s="42">
        <f t="shared" si="15"/>
        <v>4.3747926666666612E-5</v>
      </c>
      <c r="G105" s="42">
        <f t="shared" si="15"/>
        <v>4.3203346666666611E-5</v>
      </c>
      <c r="H105" s="109">
        <f>'DD Water_Total'!K68</f>
        <v>0.36155310544788688</v>
      </c>
      <c r="I105" s="109">
        <f>'DD Water_Total'!L68</f>
        <v>0.63844689455211312</v>
      </c>
    </row>
    <row r="106" spans="2:9">
      <c r="B106" s="6">
        <v>2048</v>
      </c>
      <c r="C106" s="42">
        <f t="shared" si="14"/>
        <v>4.5259999999999943E-5</v>
      </c>
      <c r="D106" s="42">
        <f t="shared" si="15"/>
        <v>4.4716879999999943E-5</v>
      </c>
      <c r="E106" s="42">
        <f t="shared" si="15"/>
        <v>4.4173759999999943E-5</v>
      </c>
      <c r="F106" s="42">
        <f t="shared" si="15"/>
        <v>4.3630639999999944E-5</v>
      </c>
      <c r="G106" s="42">
        <f t="shared" si="15"/>
        <v>4.3087519999999944E-5</v>
      </c>
      <c r="H106" s="109">
        <f>'DD Water_Total'!K69</f>
        <v>0.35681825118266486</v>
      </c>
      <c r="I106" s="109">
        <f>'DD Water_Total'!L69</f>
        <v>0.64318174881733514</v>
      </c>
    </row>
    <row r="107" spans="2:9">
      <c r="B107" s="6">
        <v>2049</v>
      </c>
      <c r="C107" s="42">
        <f t="shared" si="14"/>
        <v>4.5138333333333274E-5</v>
      </c>
      <c r="D107" s="42">
        <f t="shared" si="15"/>
        <v>4.4596673333333274E-5</v>
      </c>
      <c r="E107" s="42">
        <f t="shared" si="15"/>
        <v>4.4055013333333275E-5</v>
      </c>
      <c r="F107" s="42">
        <f t="shared" si="15"/>
        <v>4.3513353333333276E-5</v>
      </c>
      <c r="G107" s="42">
        <f t="shared" si="15"/>
        <v>4.2971693333333277E-5</v>
      </c>
      <c r="H107" s="109">
        <f>'DD Water_Total'!K70</f>
        <v>0.35208339691744284</v>
      </c>
      <c r="I107" s="109">
        <f>'DD Water_Total'!L70</f>
        <v>0.64791660308255716</v>
      </c>
    </row>
    <row r="108" spans="2:9">
      <c r="B108" s="6">
        <v>2050</v>
      </c>
      <c r="C108" s="42">
        <f t="shared" si="14"/>
        <v>4.5016666666666604E-5</v>
      </c>
      <c r="D108" s="42">
        <f t="shared" si="15"/>
        <v>4.4476466666666606E-5</v>
      </c>
      <c r="E108" s="42">
        <f t="shared" si="15"/>
        <v>4.3936266666666607E-5</v>
      </c>
      <c r="F108" s="42">
        <f t="shared" si="15"/>
        <v>4.3396066666666608E-5</v>
      </c>
      <c r="G108" s="42">
        <f t="shared" si="15"/>
        <v>4.2855866666666603E-5</v>
      </c>
      <c r="H108" s="109">
        <f>'DD Water_Total'!K71</f>
        <v>0.34734854265222082</v>
      </c>
      <c r="I108" s="109">
        <f>'DD Water_Total'!L71</f>
        <v>0.65265145734777918</v>
      </c>
    </row>
    <row r="109" spans="2:9">
      <c r="B109" s="6">
        <v>2051</v>
      </c>
      <c r="C109" s="42">
        <f t="shared" si="14"/>
        <v>4.4894999999999935E-5</v>
      </c>
      <c r="D109" s="42">
        <f t="shared" si="15"/>
        <v>4.4356259999999937E-5</v>
      </c>
      <c r="E109" s="42">
        <f t="shared" si="15"/>
        <v>4.3817519999999939E-5</v>
      </c>
      <c r="F109" s="42">
        <f t="shared" si="15"/>
        <v>4.3278779999999934E-5</v>
      </c>
      <c r="G109" s="42">
        <f t="shared" si="15"/>
        <v>4.2740039999999936E-5</v>
      </c>
      <c r="H109" s="109">
        <f>'DD Water_Total'!K72</f>
        <v>0.34261368838699879</v>
      </c>
      <c r="I109" s="109">
        <f>'DD Water_Total'!L72</f>
        <v>0.65738631161300121</v>
      </c>
    </row>
    <row r="110" spans="2:9">
      <c r="B110" s="6">
        <v>2052</v>
      </c>
      <c r="C110" s="42">
        <f t="shared" si="14"/>
        <v>4.4773333333333266E-5</v>
      </c>
      <c r="D110" s="42">
        <f t="shared" si="15"/>
        <v>4.4236053333333268E-5</v>
      </c>
      <c r="E110" s="42">
        <f t="shared" si="15"/>
        <v>4.3698773333333264E-5</v>
      </c>
      <c r="F110" s="42">
        <f t="shared" si="15"/>
        <v>4.3161493333333266E-5</v>
      </c>
      <c r="G110" s="42">
        <f t="shared" si="15"/>
        <v>4.2624213333333269E-5</v>
      </c>
      <c r="H110" s="109">
        <f>'DD Water_Total'!K73</f>
        <v>0.33787883412177677</v>
      </c>
      <c r="I110" s="109">
        <f>'DD Water_Total'!L73</f>
        <v>0.66212116587822323</v>
      </c>
    </row>
    <row r="111" spans="2:9">
      <c r="B111" s="6">
        <v>2053</v>
      </c>
      <c r="C111" s="42">
        <f t="shared" si="14"/>
        <v>4.4651666666666597E-5</v>
      </c>
      <c r="D111" s="42">
        <f t="shared" si="15"/>
        <v>4.41158466666666E-5</v>
      </c>
      <c r="E111" s="42">
        <f t="shared" si="15"/>
        <v>4.3580026666666596E-5</v>
      </c>
      <c r="F111" s="42">
        <f t="shared" si="15"/>
        <v>4.3044206666666599E-5</v>
      </c>
      <c r="G111" s="42">
        <f t="shared" si="15"/>
        <v>4.2508386666666601E-5</v>
      </c>
      <c r="H111" s="109">
        <f>'DD Water_Total'!K74</f>
        <v>0.33314397985655475</v>
      </c>
      <c r="I111" s="109">
        <f>'DD Water_Total'!L74</f>
        <v>0.66685602014344525</v>
      </c>
    </row>
    <row r="112" spans="2:9">
      <c r="B112" s="6">
        <v>2054</v>
      </c>
      <c r="C112" s="42">
        <f t="shared" si="14"/>
        <v>4.4529999999999928E-5</v>
      </c>
      <c r="D112" s="42">
        <f t="shared" si="15"/>
        <v>4.3995639999999931E-5</v>
      </c>
      <c r="E112" s="42">
        <f t="shared" si="15"/>
        <v>4.3461279999999928E-5</v>
      </c>
      <c r="F112" s="42">
        <f t="shared" si="15"/>
        <v>4.2926919999999931E-5</v>
      </c>
      <c r="G112" s="42">
        <f t="shared" si="15"/>
        <v>4.2392559999999927E-5</v>
      </c>
      <c r="H112" s="109">
        <f>'DD Water_Total'!K75</f>
        <v>0.32840912559133273</v>
      </c>
      <c r="I112" s="109">
        <f>'DD Water_Total'!L75</f>
        <v>0.67159087440866727</v>
      </c>
    </row>
    <row r="113" spans="2:9">
      <c r="B113" s="6">
        <v>2055</v>
      </c>
      <c r="C113" s="42">
        <f t="shared" si="14"/>
        <v>4.4408333333333259E-5</v>
      </c>
      <c r="D113" s="42">
        <f t="shared" si="15"/>
        <v>4.3875433333333262E-5</v>
      </c>
      <c r="E113" s="42">
        <f t="shared" si="15"/>
        <v>4.3342533333333259E-5</v>
      </c>
      <c r="F113" s="42">
        <f t="shared" si="15"/>
        <v>4.2809633333333263E-5</v>
      </c>
      <c r="G113" s="42">
        <f t="shared" si="15"/>
        <v>4.227673333333326E-5</v>
      </c>
      <c r="H113" s="109">
        <f>'DD Water_Total'!K76</f>
        <v>0.32367427132611071</v>
      </c>
      <c r="I113" s="109">
        <f>'DD Water_Total'!L76</f>
        <v>0.67632572867388929</v>
      </c>
    </row>
    <row r="114" spans="2:9">
      <c r="B114" s="6">
        <v>2056</v>
      </c>
      <c r="C114" s="42">
        <f t="shared" si="14"/>
        <v>4.4286666666666589E-5</v>
      </c>
      <c r="D114" s="42">
        <f t="shared" si="15"/>
        <v>4.3755226666666587E-5</v>
      </c>
      <c r="E114" s="42">
        <f t="shared" si="15"/>
        <v>4.3223786666666591E-5</v>
      </c>
      <c r="F114" s="42">
        <f t="shared" si="15"/>
        <v>4.2692346666666589E-5</v>
      </c>
      <c r="G114" s="42">
        <f t="shared" si="15"/>
        <v>4.2160906666666593E-5</v>
      </c>
      <c r="H114" s="109">
        <f>'DD Water_Total'!K77</f>
        <v>0.31893941706088869</v>
      </c>
      <c r="I114" s="109">
        <f>'DD Water_Total'!L77</f>
        <v>0.68106058293911131</v>
      </c>
    </row>
    <row r="115" spans="2:9">
      <c r="B115" s="6">
        <v>2057</v>
      </c>
      <c r="C115" s="42">
        <f t="shared" si="14"/>
        <v>4.416499999999992E-5</v>
      </c>
      <c r="D115" s="42">
        <f t="shared" si="15"/>
        <v>4.3635019999999918E-5</v>
      </c>
      <c r="E115" s="42">
        <f t="shared" si="15"/>
        <v>4.3105039999999923E-5</v>
      </c>
      <c r="F115" s="42">
        <f t="shared" si="15"/>
        <v>4.2575059999999921E-5</v>
      </c>
      <c r="G115" s="42">
        <f t="shared" si="15"/>
        <v>4.2045079999999919E-5</v>
      </c>
      <c r="H115" s="109">
        <f>'DD Water_Total'!K78</f>
        <v>0.31420456279566666</v>
      </c>
      <c r="I115" s="109">
        <f>'DD Water_Total'!L78</f>
        <v>0.68579543720433334</v>
      </c>
    </row>
    <row r="116" spans="2:9">
      <c r="B116" s="6">
        <v>2058</v>
      </c>
      <c r="C116" s="42">
        <f t="shared" si="14"/>
        <v>4.4043333333333251E-5</v>
      </c>
      <c r="D116" s="42">
        <f t="shared" si="15"/>
        <v>4.351481333333325E-5</v>
      </c>
      <c r="E116" s="42">
        <f t="shared" si="15"/>
        <v>4.2986293333333255E-5</v>
      </c>
      <c r="F116" s="42">
        <f t="shared" si="15"/>
        <v>4.2457773333333253E-5</v>
      </c>
      <c r="G116" s="42">
        <f t="shared" si="15"/>
        <v>4.1929253333333252E-5</v>
      </c>
      <c r="H116" s="109">
        <f>'DD Water_Total'!K79</f>
        <v>0.30946970853044464</v>
      </c>
      <c r="I116" s="109">
        <f>'DD Water_Total'!L79</f>
        <v>0.69053029146955536</v>
      </c>
    </row>
    <row r="117" spans="2:9">
      <c r="B117" s="6">
        <v>2059</v>
      </c>
      <c r="C117" s="42">
        <f t="shared" si="14"/>
        <v>4.3921666666666582E-5</v>
      </c>
      <c r="D117" s="42">
        <f t="shared" si="15"/>
        <v>4.3394606666666581E-5</v>
      </c>
      <c r="E117" s="42">
        <f t="shared" si="15"/>
        <v>4.286754666666658E-5</v>
      </c>
      <c r="F117" s="42">
        <f t="shared" si="15"/>
        <v>4.2340486666666586E-5</v>
      </c>
      <c r="G117" s="42">
        <f t="shared" si="15"/>
        <v>4.1813426666666585E-5</v>
      </c>
      <c r="H117" s="109">
        <f>'DD Water_Total'!K80</f>
        <v>0.30473485426522262</v>
      </c>
      <c r="I117" s="109">
        <f>'DD Water_Total'!L80</f>
        <v>0.69526514573477738</v>
      </c>
    </row>
    <row r="118" spans="2:9">
      <c r="B118" s="6">
        <v>2060</v>
      </c>
      <c r="C118" s="53">
        <f>D14</f>
        <v>4.3799999999999994E-5</v>
      </c>
      <c r="D118" s="42">
        <f t="shared" si="15"/>
        <v>4.3274399999999993E-5</v>
      </c>
      <c r="E118" s="42">
        <f t="shared" si="15"/>
        <v>4.2748799999999993E-5</v>
      </c>
      <c r="F118" s="42">
        <f t="shared" si="15"/>
        <v>4.2223199999999992E-5</v>
      </c>
      <c r="G118" s="42">
        <f t="shared" si="15"/>
        <v>4.1697599999999992E-5</v>
      </c>
      <c r="H118" s="109">
        <f>'DD Water_Total'!K81</f>
        <v>0.3</v>
      </c>
      <c r="I118" s="109">
        <f>'DD Water_Total'!L81</f>
        <v>0.7</v>
      </c>
    </row>
    <row r="119" spans="2:9">
      <c r="B119" s="6">
        <v>2061</v>
      </c>
      <c r="C119" s="42">
        <f>$C$118</f>
        <v>4.3799999999999994E-5</v>
      </c>
      <c r="D119" s="42">
        <f t="shared" si="15"/>
        <v>4.3274399999999993E-5</v>
      </c>
      <c r="E119" s="42">
        <f t="shared" si="15"/>
        <v>4.2748799999999993E-5</v>
      </c>
      <c r="F119" s="42">
        <f t="shared" si="15"/>
        <v>4.2223199999999992E-5</v>
      </c>
      <c r="G119" s="42">
        <f t="shared" si="15"/>
        <v>4.1697599999999992E-5</v>
      </c>
      <c r="H119" s="109">
        <f>'DD Water_Total'!K82</f>
        <v>0.3</v>
      </c>
      <c r="I119" s="109">
        <f>'DD Water_Total'!L82</f>
        <v>0.7</v>
      </c>
    </row>
    <row r="120" spans="2:9">
      <c r="B120" s="6">
        <v>2062</v>
      </c>
      <c r="C120" s="42">
        <f>$C$118</f>
        <v>4.3799999999999994E-5</v>
      </c>
      <c r="D120" s="42">
        <f t="shared" si="15"/>
        <v>4.3274399999999993E-5</v>
      </c>
      <c r="E120" s="42">
        <f t="shared" si="15"/>
        <v>4.2748799999999993E-5</v>
      </c>
      <c r="F120" s="42">
        <f t="shared" si="15"/>
        <v>4.2223199999999992E-5</v>
      </c>
      <c r="G120" s="42">
        <f t="shared" si="15"/>
        <v>4.1697599999999992E-5</v>
      </c>
      <c r="H120" s="109">
        <f>'DD Water_Total'!K83</f>
        <v>0.3</v>
      </c>
      <c r="I120" s="109">
        <f>'DD Water_Total'!L83</f>
        <v>0.7</v>
      </c>
    </row>
    <row r="121" spans="2:9">
      <c r="B121" s="6">
        <v>2063</v>
      </c>
      <c r="C121" s="42">
        <f>$C$118</f>
        <v>4.3799999999999994E-5</v>
      </c>
      <c r="D121" s="42">
        <f t="shared" si="15"/>
        <v>4.3274399999999993E-5</v>
      </c>
      <c r="E121" s="42">
        <f t="shared" si="15"/>
        <v>4.2748799999999993E-5</v>
      </c>
      <c r="F121" s="42">
        <f t="shared" si="15"/>
        <v>4.2223199999999992E-5</v>
      </c>
      <c r="G121" s="42">
        <f t="shared" si="15"/>
        <v>4.1697599999999992E-5</v>
      </c>
      <c r="H121" s="109">
        <f>'DD Water_Total'!K84</f>
        <v>0.3</v>
      </c>
      <c r="I121" s="109">
        <f>'DD Water_Total'!L84</f>
        <v>0.7</v>
      </c>
    </row>
    <row r="122" spans="2:9">
      <c r="B122" s="6">
        <v>2064</v>
      </c>
      <c r="C122" s="42">
        <f>$C$118</f>
        <v>4.3799999999999994E-5</v>
      </c>
      <c r="D122" s="42">
        <f t="shared" si="15"/>
        <v>4.3274399999999993E-5</v>
      </c>
      <c r="E122" s="42">
        <f t="shared" si="15"/>
        <v>4.2748799999999993E-5</v>
      </c>
      <c r="F122" s="42">
        <f t="shared" si="15"/>
        <v>4.2223199999999992E-5</v>
      </c>
      <c r="G122" s="42">
        <f t="shared" si="15"/>
        <v>4.1697599999999992E-5</v>
      </c>
      <c r="H122" s="109">
        <f>'DD Water_Total'!K85</f>
        <v>0.3</v>
      </c>
      <c r="I122" s="109">
        <f>'DD Water_Total'!L85</f>
        <v>0.7</v>
      </c>
    </row>
    <row r="123" spans="2:9">
      <c r="B123" s="6">
        <v>2065</v>
      </c>
      <c r="C123" s="42">
        <f>$C$118</f>
        <v>4.3799999999999994E-5</v>
      </c>
      <c r="D123" s="42">
        <f t="shared" si="15"/>
        <v>4.3274399999999993E-5</v>
      </c>
      <c r="E123" s="42">
        <f t="shared" si="15"/>
        <v>4.2748799999999993E-5</v>
      </c>
      <c r="F123" s="42">
        <f t="shared" si="15"/>
        <v>4.2223199999999992E-5</v>
      </c>
      <c r="G123" s="42">
        <f t="shared" si="15"/>
        <v>4.1697599999999992E-5</v>
      </c>
      <c r="H123" s="109">
        <f>'DD Water_Total'!K86</f>
        <v>0.3</v>
      </c>
      <c r="I123" s="109">
        <f>'DD Water_Total'!L86</f>
        <v>0.7</v>
      </c>
    </row>
  </sheetData>
  <sheetProtection sheet="1" objects="1" scenarios="1"/>
  <mergeCells count="20">
    <mergeCell ref="B22:C22"/>
    <mergeCell ref="B17:C17"/>
    <mergeCell ref="B18:C18"/>
    <mergeCell ref="B4:C4"/>
    <mergeCell ref="B5:C5"/>
    <mergeCell ref="B21:C21"/>
    <mergeCell ref="B8:C8"/>
    <mergeCell ref="B9:C9"/>
    <mergeCell ref="N27:R27"/>
    <mergeCell ref="B77:B78"/>
    <mergeCell ref="H77:H78"/>
    <mergeCell ref="C77:G77"/>
    <mergeCell ref="I77:I78"/>
    <mergeCell ref="J27:K27"/>
    <mergeCell ref="L27:M27"/>
    <mergeCell ref="B27:B28"/>
    <mergeCell ref="C27:C28"/>
    <mergeCell ref="H27:I27"/>
    <mergeCell ref="D27:E27"/>
    <mergeCell ref="F27:G27"/>
  </mergeCells>
  <phoneticPr fontId="31" type="noConversion"/>
  <conditionalFormatting sqref="D8:D9 C13:C14 D17:D18 D21:D22">
    <cfRule type="containsBlanks" dxfId="0" priority="1">
      <formula>LEN(TRIM(C8))=0</formula>
    </cfRule>
  </conditionalFormatting>
  <dataValidations count="1">
    <dataValidation type="list" allowBlank="1" showInputMessage="1" showErrorMessage="1" sqref="D8:D9" xr:uid="{0AD16F43-F611-4ECA-AAD8-417E7BB93455}">
      <formula1>"Low, Medium, High"</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D5E23075-64BA-4557-B9E3-F116D33B1DA7}">
          <x14:formula1>
            <xm:f>'LIST-Conserv_Eff'!$B$6:$B$11</xm:f>
          </x14:formula1>
          <xm:sqref>C13</xm:sqref>
        </x14:dataValidation>
        <x14:dataValidation type="list" allowBlank="1" showInputMessage="1" showErrorMessage="1" xr:uid="{0656FBAC-9628-4404-9531-472EE460D79D}">
          <x14:formula1>
            <xm:f>'LIST-Conserv_Eff'!$C$6:$C$12</xm:f>
          </x14:formula1>
          <xm:sqref>C14</xm:sqref>
        </x14:dataValidation>
        <x14:dataValidation type="list" allowBlank="1" showInputMessage="1" showErrorMessage="1" xr:uid="{A97DB1B2-DCD2-4981-B015-878C63FECCE3}">
          <x14:formula1>
            <xm:f>'LIST-Px&amp;DD'!$B$5:$B$49</xm:f>
          </x14:formula1>
          <xm:sqref>D17</xm:sqref>
        </x14:dataValidation>
        <x14:dataValidation type="list" allowBlank="1" showInputMessage="1" showErrorMessage="1" xr:uid="{D2F38D76-7935-4250-9DA0-92855531D57B}">
          <x14:formula1>
            <xm:f>'LIST-Px&amp;DD'!$F$5:$F$14</xm:f>
          </x14:formula1>
          <xm:sqref>D18</xm:sqref>
        </x14:dataValidation>
        <x14:dataValidation type="list" allowBlank="1" showInputMessage="1" showErrorMessage="1" xr:uid="{FBF20FA7-F8E9-41E5-9D75-866DD09CCFBA}">
          <x14:formula1>
            <xm:f>'LIST-WA End'!$B$5:$B$44</xm:f>
          </x14:formula1>
          <xm:sqref>D21</xm:sqref>
        </x14:dataValidation>
        <x14:dataValidation type="list" allowBlank="1" showInputMessage="1" showErrorMessage="1" xr:uid="{4916702E-EA6E-48A9-B712-2238D591ABA1}">
          <x14:formula1>
            <xm:f>'LIST-Reserve'!$B$5:$B$17</xm:f>
          </x14:formula1>
          <xm:sqref>D22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43A82-0167-4A68-B7E9-BD0B0C001B46}">
  <sheetPr codeName="Sheet20">
    <tabColor theme="2" tint="-9.9978637043366805E-2"/>
  </sheetPr>
  <dimension ref="B1:I25"/>
  <sheetViews>
    <sheetView showGridLines="0" workbookViewId="0">
      <selection activeCell="B2" sqref="B2"/>
    </sheetView>
  </sheetViews>
  <sheetFormatPr defaultRowHeight="13.8"/>
  <cols>
    <col min="1" max="1" width="2.59765625" customWidth="1"/>
    <col min="2" max="3" width="23.69921875" customWidth="1"/>
  </cols>
  <sheetData>
    <row r="1" spans="2:9" ht="21">
      <c r="B1" s="8" t="s">
        <v>73</v>
      </c>
      <c r="C1" s="8"/>
      <c r="D1" s="8"/>
      <c r="E1" s="8"/>
      <c r="I1" s="7"/>
    </row>
    <row r="3" spans="2:9" ht="14.4">
      <c r="B3" s="10" t="s">
        <v>191</v>
      </c>
    </row>
    <row r="4" spans="2:9">
      <c r="C4" s="14" t="s">
        <v>13</v>
      </c>
    </row>
    <row r="5" spans="2:9">
      <c r="B5" s="9" t="s">
        <v>192</v>
      </c>
      <c r="C5" s="9" t="s">
        <v>193</v>
      </c>
    </row>
    <row r="6" spans="2:9">
      <c r="B6" s="42">
        <v>1.55E-7</v>
      </c>
      <c r="C6" s="42">
        <v>1.3E-7</v>
      </c>
    </row>
    <row r="7" spans="2:9">
      <c r="B7" s="42">
        <f t="shared" ref="B7:C12" si="0">B6-0.000000005</f>
        <v>1.4999999999999999E-7</v>
      </c>
      <c r="C7" s="42">
        <f t="shared" si="0"/>
        <v>1.2499999999999999E-7</v>
      </c>
    </row>
    <row r="8" spans="2:9">
      <c r="B8" s="42">
        <f t="shared" si="0"/>
        <v>1.4499999999999999E-7</v>
      </c>
      <c r="C8" s="42">
        <f t="shared" si="0"/>
        <v>1.1999999999999999E-7</v>
      </c>
    </row>
    <row r="9" spans="2:9">
      <c r="B9" s="42">
        <f t="shared" si="0"/>
        <v>1.3999999999999998E-7</v>
      </c>
      <c r="C9" s="42">
        <f t="shared" si="0"/>
        <v>1.1499999999999998E-7</v>
      </c>
    </row>
    <row r="10" spans="2:9">
      <c r="B10" s="42">
        <f t="shared" si="0"/>
        <v>1.3499999999999998E-7</v>
      </c>
      <c r="C10" s="42">
        <f t="shared" si="0"/>
        <v>1.0999999999999998E-7</v>
      </c>
    </row>
    <row r="11" spans="2:9">
      <c r="B11" s="42">
        <f t="shared" si="0"/>
        <v>1.2999999999999997E-7</v>
      </c>
      <c r="C11" s="42">
        <f t="shared" si="0"/>
        <v>1.0499999999999997E-7</v>
      </c>
    </row>
    <row r="12" spans="2:9">
      <c r="B12" s="42"/>
      <c r="C12" s="42">
        <f t="shared" si="0"/>
        <v>9.9999999999999969E-8</v>
      </c>
    </row>
    <row r="13" spans="2:9">
      <c r="B13" s="43"/>
      <c r="C13" s="43"/>
    </row>
    <row r="14" spans="2:9">
      <c r="B14" s="43"/>
      <c r="C14" s="43"/>
    </row>
    <row r="15" spans="2:9">
      <c r="B15" s="43"/>
      <c r="C15" s="43"/>
    </row>
    <row r="16" spans="2:9">
      <c r="B16" s="43"/>
      <c r="C16" s="43"/>
    </row>
    <row r="17" spans="3:3">
      <c r="C17" s="43"/>
    </row>
    <row r="18" spans="3:3">
      <c r="C18" s="43"/>
    </row>
    <row r="19" spans="3:3">
      <c r="C19" s="43"/>
    </row>
    <row r="20" spans="3:3">
      <c r="C20" s="43"/>
    </row>
    <row r="21" spans="3:3">
      <c r="C21" s="43"/>
    </row>
    <row r="22" spans="3:3">
      <c r="C22" s="43"/>
    </row>
    <row r="23" spans="3:3">
      <c r="C23" s="43"/>
    </row>
    <row r="24" spans="3:3">
      <c r="C24" s="43"/>
    </row>
    <row r="25" spans="3:3">
      <c r="C25" s="43"/>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39700-B14D-4ACD-B5B8-6CFC5D82F557}">
  <sheetPr codeName="Sheet21">
    <tabColor theme="2" tint="-9.9978637043366805E-2"/>
  </sheetPr>
  <dimension ref="B1:I51"/>
  <sheetViews>
    <sheetView showGridLines="0" workbookViewId="0">
      <selection activeCell="B6" sqref="B6:B45"/>
    </sheetView>
  </sheetViews>
  <sheetFormatPr defaultRowHeight="13.8"/>
  <cols>
    <col min="1" max="1" width="2.59765625" customWidth="1"/>
    <col min="2" max="2" width="22.5" customWidth="1"/>
    <col min="3" max="3" width="3.69921875" customWidth="1"/>
    <col min="4" max="4" width="22.5" customWidth="1"/>
    <col min="5" max="5" width="3.69921875" customWidth="1"/>
    <col min="6" max="6" width="22.5" customWidth="1"/>
  </cols>
  <sheetData>
    <row r="1" spans="2:9" ht="21">
      <c r="B1" s="8" t="s">
        <v>194</v>
      </c>
      <c r="C1" s="8"/>
      <c r="D1" s="8"/>
      <c r="E1" s="8"/>
      <c r="I1" s="7"/>
    </row>
    <row r="4" spans="2:9">
      <c r="B4" s="9" t="s">
        <v>25</v>
      </c>
      <c r="D4" s="9" t="s">
        <v>195</v>
      </c>
      <c r="F4" s="9" t="s">
        <v>74</v>
      </c>
    </row>
    <row r="5" spans="2:9">
      <c r="B5" s="6">
        <v>2021</v>
      </c>
      <c r="D5" s="51">
        <v>0</v>
      </c>
      <c r="F5" s="54">
        <v>0.1</v>
      </c>
    </row>
    <row r="6" spans="2:9">
      <c r="B6" s="6">
        <v>2022</v>
      </c>
      <c r="D6" s="51">
        <v>0.01</v>
      </c>
      <c r="F6" s="54">
        <v>0.2</v>
      </c>
    </row>
    <row r="7" spans="2:9">
      <c r="B7" s="6">
        <v>2023</v>
      </c>
      <c r="D7" s="51">
        <v>0.02</v>
      </c>
      <c r="F7" s="54">
        <v>0.3</v>
      </c>
    </row>
    <row r="8" spans="2:9">
      <c r="B8" s="6">
        <v>2024</v>
      </c>
      <c r="D8" s="51">
        <v>0.03</v>
      </c>
      <c r="F8" s="54">
        <v>0.4</v>
      </c>
    </row>
    <row r="9" spans="2:9">
      <c r="B9" s="6">
        <v>2025</v>
      </c>
      <c r="D9" s="51">
        <v>0.04</v>
      </c>
      <c r="F9" s="54">
        <v>0.5</v>
      </c>
    </row>
    <row r="10" spans="2:9">
      <c r="B10" s="6">
        <v>2026</v>
      </c>
      <c r="D10" s="51">
        <v>0.05</v>
      </c>
      <c r="F10" s="54">
        <v>0.6</v>
      </c>
    </row>
    <row r="11" spans="2:9">
      <c r="B11" s="6">
        <v>2027</v>
      </c>
      <c r="D11" s="51">
        <v>0.06</v>
      </c>
      <c r="F11" s="54">
        <v>0.7</v>
      </c>
    </row>
    <row r="12" spans="2:9">
      <c r="B12" s="6">
        <v>2028</v>
      </c>
      <c r="D12" s="51">
        <v>7.0000000000000007E-2</v>
      </c>
      <c r="F12" s="54">
        <v>0.8</v>
      </c>
    </row>
    <row r="13" spans="2:9">
      <c r="B13" s="6">
        <v>2029</v>
      </c>
      <c r="D13" s="51">
        <v>0.08</v>
      </c>
      <c r="F13" s="54">
        <v>0.9</v>
      </c>
    </row>
    <row r="14" spans="2:9">
      <c r="B14" s="6">
        <v>2030</v>
      </c>
      <c r="D14" s="51">
        <v>0.09</v>
      </c>
      <c r="F14" s="54">
        <v>1</v>
      </c>
    </row>
    <row r="15" spans="2:9">
      <c r="B15" s="6">
        <v>2031</v>
      </c>
      <c r="D15" s="51">
        <v>0.1</v>
      </c>
    </row>
    <row r="16" spans="2:9">
      <c r="B16" s="6">
        <v>2032</v>
      </c>
      <c r="D16" s="51">
        <v>0.11</v>
      </c>
    </row>
    <row r="17" spans="2:4">
      <c r="B17" s="6">
        <v>2033</v>
      </c>
      <c r="D17" s="51">
        <v>0.12</v>
      </c>
    </row>
    <row r="18" spans="2:4">
      <c r="B18" s="6">
        <v>2034</v>
      </c>
      <c r="D18" s="51">
        <v>0.13</v>
      </c>
    </row>
    <row r="19" spans="2:4">
      <c r="B19" s="6">
        <v>2035</v>
      </c>
      <c r="D19" s="51">
        <v>0.14000000000000001</v>
      </c>
    </row>
    <row r="20" spans="2:4">
      <c r="B20" s="6">
        <v>2036</v>
      </c>
      <c r="D20" s="51">
        <v>0.15</v>
      </c>
    </row>
    <row r="21" spans="2:4">
      <c r="B21" s="6">
        <v>2037</v>
      </c>
      <c r="D21" s="51">
        <v>0.16</v>
      </c>
    </row>
    <row r="22" spans="2:4">
      <c r="B22" s="6">
        <v>2038</v>
      </c>
      <c r="D22" s="51">
        <v>0.17</v>
      </c>
    </row>
    <row r="23" spans="2:4">
      <c r="B23" s="6">
        <v>2039</v>
      </c>
      <c r="D23" s="51">
        <v>0.18</v>
      </c>
    </row>
    <row r="24" spans="2:4">
      <c r="B24" s="6">
        <v>2040</v>
      </c>
      <c r="D24" s="51">
        <v>0.19</v>
      </c>
    </row>
    <row r="25" spans="2:4">
      <c r="B25" s="6">
        <v>2041</v>
      </c>
      <c r="D25" s="51">
        <v>0.2</v>
      </c>
    </row>
    <row r="26" spans="2:4">
      <c r="B26" s="6">
        <v>2042</v>
      </c>
      <c r="D26" s="51">
        <v>0.21</v>
      </c>
    </row>
    <row r="27" spans="2:4">
      <c r="B27" s="6">
        <v>2043</v>
      </c>
      <c r="D27" s="51">
        <v>0.22</v>
      </c>
    </row>
    <row r="28" spans="2:4">
      <c r="B28" s="6">
        <v>2044</v>
      </c>
      <c r="D28" s="51">
        <v>0.23</v>
      </c>
    </row>
    <row r="29" spans="2:4">
      <c r="B29" s="6">
        <v>2045</v>
      </c>
      <c r="D29" s="51">
        <v>0.24</v>
      </c>
    </row>
    <row r="30" spans="2:4">
      <c r="B30" s="6">
        <v>2046</v>
      </c>
      <c r="D30" s="51">
        <v>0.25</v>
      </c>
    </row>
    <row r="31" spans="2:4">
      <c r="B31" s="6">
        <v>2047</v>
      </c>
      <c r="D31" s="51">
        <v>0.26</v>
      </c>
    </row>
    <row r="32" spans="2:4">
      <c r="B32" s="6">
        <v>2048</v>
      </c>
      <c r="D32" s="51">
        <v>0.27</v>
      </c>
    </row>
    <row r="33" spans="2:4">
      <c r="B33" s="6">
        <v>2049</v>
      </c>
      <c r="D33" s="51">
        <v>0.28000000000000003</v>
      </c>
    </row>
    <row r="34" spans="2:4">
      <c r="B34" s="6">
        <v>2050</v>
      </c>
      <c r="D34" s="51">
        <v>0.28999999999999998</v>
      </c>
    </row>
    <row r="35" spans="2:4">
      <c r="B35" s="6">
        <v>2051</v>
      </c>
      <c r="D35" s="51">
        <v>0.3</v>
      </c>
    </row>
    <row r="36" spans="2:4">
      <c r="B36" s="6">
        <v>2052</v>
      </c>
      <c r="D36" s="51">
        <v>0.31</v>
      </c>
    </row>
    <row r="37" spans="2:4">
      <c r="B37" s="6">
        <v>2053</v>
      </c>
      <c r="D37" s="51">
        <v>0.32</v>
      </c>
    </row>
    <row r="38" spans="2:4">
      <c r="B38" s="6">
        <v>2054</v>
      </c>
      <c r="D38" s="51">
        <v>0.33</v>
      </c>
    </row>
    <row r="39" spans="2:4">
      <c r="B39" s="6">
        <v>2055</v>
      </c>
      <c r="D39" s="51">
        <v>0.34</v>
      </c>
    </row>
    <row r="40" spans="2:4">
      <c r="B40" s="6">
        <v>2056</v>
      </c>
      <c r="D40" s="51">
        <v>0.35</v>
      </c>
    </row>
    <row r="41" spans="2:4">
      <c r="B41" s="6">
        <v>2057</v>
      </c>
      <c r="D41" s="51">
        <v>0.36</v>
      </c>
    </row>
    <row r="42" spans="2:4">
      <c r="B42" s="6">
        <v>2058</v>
      </c>
      <c r="D42" s="51">
        <v>0.37</v>
      </c>
    </row>
    <row r="43" spans="2:4">
      <c r="B43" s="6">
        <v>2059</v>
      </c>
      <c r="D43" s="51">
        <v>0.38</v>
      </c>
    </row>
    <row r="44" spans="2:4">
      <c r="B44" s="6">
        <v>2060</v>
      </c>
      <c r="D44" s="51">
        <v>0.39</v>
      </c>
    </row>
    <row r="45" spans="2:4">
      <c r="B45" s="6">
        <v>2061</v>
      </c>
      <c r="D45" s="51">
        <v>0.4</v>
      </c>
    </row>
    <row r="46" spans="2:4">
      <c r="B46" s="6">
        <v>2062</v>
      </c>
    </row>
    <row r="47" spans="2:4">
      <c r="B47" s="6">
        <v>2063</v>
      </c>
    </row>
    <row r="48" spans="2:4">
      <c r="B48" s="6">
        <v>2064</v>
      </c>
    </row>
    <row r="49" spans="2:2">
      <c r="B49" s="6">
        <v>2065</v>
      </c>
    </row>
    <row r="51" spans="2:2">
      <c r="B51" t="s">
        <v>196</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03BC5-03E5-426F-A4CC-1A2DEEDDF108}">
  <sheetPr codeName="Sheet23">
    <tabColor theme="2" tint="-9.9978637043366805E-2"/>
  </sheetPr>
  <dimension ref="B1:I17"/>
  <sheetViews>
    <sheetView showGridLines="0" workbookViewId="0">
      <selection activeCell="B2" sqref="B2"/>
    </sheetView>
  </sheetViews>
  <sheetFormatPr defaultRowHeight="13.8"/>
  <cols>
    <col min="1" max="1" width="2.59765625" customWidth="1"/>
    <col min="2" max="2" width="22.5" customWidth="1"/>
  </cols>
  <sheetData>
    <row r="1" spans="2:9" ht="21">
      <c r="B1" s="8" t="s">
        <v>239</v>
      </c>
      <c r="C1" s="8"/>
      <c r="D1" s="8"/>
      <c r="E1" s="8"/>
      <c r="I1" s="7"/>
    </row>
    <row r="4" spans="2:9">
      <c r="B4" s="9" t="s">
        <v>238</v>
      </c>
    </row>
    <row r="5" spans="2:9">
      <c r="B5" s="6">
        <v>0</v>
      </c>
    </row>
    <row r="6" spans="2:9">
      <c r="B6" s="6">
        <v>1</v>
      </c>
    </row>
    <row r="7" spans="2:9">
      <c r="B7" s="6">
        <v>2</v>
      </c>
    </row>
    <row r="8" spans="2:9">
      <c r="B8" s="6">
        <v>3</v>
      </c>
    </row>
    <row r="9" spans="2:9">
      <c r="B9" s="6">
        <v>4</v>
      </c>
    </row>
    <row r="10" spans="2:9">
      <c r="B10" s="6">
        <v>5</v>
      </c>
    </row>
    <row r="11" spans="2:9">
      <c r="B11" s="6">
        <v>6</v>
      </c>
    </row>
    <row r="12" spans="2:9">
      <c r="B12" s="6">
        <v>7</v>
      </c>
    </row>
    <row r="13" spans="2:9">
      <c r="B13" s="6">
        <v>8</v>
      </c>
    </row>
    <row r="14" spans="2:9">
      <c r="B14" s="6">
        <v>9</v>
      </c>
    </row>
    <row r="15" spans="2:9">
      <c r="B15" s="6">
        <v>10</v>
      </c>
    </row>
    <row r="16" spans="2:9">
      <c r="B16" s="6">
        <v>11</v>
      </c>
    </row>
    <row r="17" spans="2:2">
      <c r="B17" s="6">
        <v>12</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4218D-C747-4F70-AFA9-A1AA00B5AC6E}">
  <sheetPr>
    <tabColor theme="2" tint="-9.9978637043366805E-2"/>
  </sheetPr>
  <dimension ref="B1:C44"/>
  <sheetViews>
    <sheetView showGridLines="0" workbookViewId="0">
      <selection activeCell="E18" sqref="E18"/>
    </sheetView>
  </sheetViews>
  <sheetFormatPr defaultRowHeight="13.8"/>
  <cols>
    <col min="1" max="1" width="2.59765625" customWidth="1"/>
    <col min="2" max="2" width="22.5" customWidth="1"/>
  </cols>
  <sheetData>
    <row r="1" spans="2:3" ht="21">
      <c r="B1" s="8" t="s">
        <v>194</v>
      </c>
      <c r="C1" s="8"/>
    </row>
    <row r="4" spans="2:3">
      <c r="B4" s="9" t="s">
        <v>25</v>
      </c>
    </row>
    <row r="5" spans="2:3">
      <c r="B5" s="6">
        <v>2022</v>
      </c>
    </row>
    <row r="6" spans="2:3">
      <c r="B6" s="6">
        <v>2023</v>
      </c>
    </row>
    <row r="7" spans="2:3">
      <c r="B7" s="6">
        <v>2024</v>
      </c>
    </row>
    <row r="8" spans="2:3">
      <c r="B8" s="6">
        <v>2025</v>
      </c>
    </row>
    <row r="9" spans="2:3">
      <c r="B9" s="6">
        <v>2026</v>
      </c>
    </row>
    <row r="10" spans="2:3">
      <c r="B10" s="6">
        <v>2027</v>
      </c>
    </row>
    <row r="11" spans="2:3">
      <c r="B11" s="6">
        <v>2028</v>
      </c>
    </row>
    <row r="12" spans="2:3">
      <c r="B12" s="6">
        <v>2029</v>
      </c>
    </row>
    <row r="13" spans="2:3">
      <c r="B13" s="6">
        <v>2030</v>
      </c>
    </row>
    <row r="14" spans="2:3">
      <c r="B14" s="6">
        <v>2031</v>
      </c>
    </row>
    <row r="15" spans="2:3">
      <c r="B15" s="6">
        <v>2032</v>
      </c>
    </row>
    <row r="16" spans="2:3">
      <c r="B16" s="6">
        <v>2033</v>
      </c>
    </row>
    <row r="17" spans="2:2">
      <c r="B17" s="6">
        <v>2034</v>
      </c>
    </row>
    <row r="18" spans="2:2">
      <c r="B18" s="6">
        <v>2035</v>
      </c>
    </row>
    <row r="19" spans="2:2">
      <c r="B19" s="6">
        <v>2036</v>
      </c>
    </row>
    <row r="20" spans="2:2">
      <c r="B20" s="6">
        <v>2037</v>
      </c>
    </row>
    <row r="21" spans="2:2">
      <c r="B21" s="6">
        <v>2038</v>
      </c>
    </row>
    <row r="22" spans="2:2">
      <c r="B22" s="6">
        <v>2039</v>
      </c>
    </row>
    <row r="23" spans="2:2">
      <c r="B23" s="6">
        <v>2040</v>
      </c>
    </row>
    <row r="24" spans="2:2">
      <c r="B24" s="6">
        <v>2041</v>
      </c>
    </row>
    <row r="25" spans="2:2">
      <c r="B25" s="6">
        <v>2042</v>
      </c>
    </row>
    <row r="26" spans="2:2">
      <c r="B26" s="6">
        <v>2043</v>
      </c>
    </row>
    <row r="27" spans="2:2">
      <c r="B27" s="6">
        <v>2044</v>
      </c>
    </row>
    <row r="28" spans="2:2">
      <c r="B28" s="6">
        <v>2045</v>
      </c>
    </row>
    <row r="29" spans="2:2">
      <c r="B29" s="6">
        <v>2046</v>
      </c>
    </row>
    <row r="30" spans="2:2">
      <c r="B30" s="6">
        <v>2047</v>
      </c>
    </row>
    <row r="31" spans="2:2">
      <c r="B31" s="6">
        <v>2048</v>
      </c>
    </row>
    <row r="32" spans="2:2">
      <c r="B32" s="6">
        <v>2049</v>
      </c>
    </row>
    <row r="33" spans="2:2">
      <c r="B33" s="6">
        <v>2050</v>
      </c>
    </row>
    <row r="34" spans="2:2">
      <c r="B34" s="6">
        <v>2051</v>
      </c>
    </row>
    <row r="35" spans="2:2">
      <c r="B35" s="6">
        <v>2052</v>
      </c>
    </row>
    <row r="36" spans="2:2">
      <c r="B36" s="6">
        <v>2053</v>
      </c>
    </row>
    <row r="37" spans="2:2">
      <c r="B37" s="6">
        <v>2054</v>
      </c>
    </row>
    <row r="38" spans="2:2">
      <c r="B38" s="6">
        <v>2055</v>
      </c>
    </row>
    <row r="39" spans="2:2">
      <c r="B39" s="6">
        <v>2056</v>
      </c>
    </row>
    <row r="40" spans="2:2">
      <c r="B40" s="6">
        <v>2057</v>
      </c>
    </row>
    <row r="41" spans="2:2">
      <c r="B41" s="6">
        <v>2058</v>
      </c>
    </row>
    <row r="42" spans="2:2">
      <c r="B42" s="6">
        <v>2059</v>
      </c>
    </row>
    <row r="43" spans="2:2">
      <c r="B43" s="6">
        <v>2060</v>
      </c>
    </row>
    <row r="44" spans="2:2">
      <c r="B44" s="6">
        <v>2061</v>
      </c>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CBB80AC1947EA43B468AA8EA8E63724" ma:contentTypeVersion="4" ma:contentTypeDescription="Create a new document." ma:contentTypeScope="" ma:versionID="0ddc53baf641a94bda3a6ee6051adbb7">
  <xsd:schema xmlns:xsd="http://www.w3.org/2001/XMLSchema" xmlns:xs="http://www.w3.org/2001/XMLSchema" xmlns:p="http://schemas.microsoft.com/office/2006/metadata/properties" xmlns:ns2="b1608588-fee5-4a95-ad78-e2726597f23a" targetNamespace="http://schemas.microsoft.com/office/2006/metadata/properties" ma:root="true" ma:fieldsID="4a767c1fbed1360aa4cd65eeb21de097" ns2:_="">
    <xsd:import namespace="b1608588-fee5-4a95-ad78-e2726597f23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608588-fee5-4a95-ad78-e2726597f23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E5EB114-CCD4-488C-88BE-45B9F3B55909}">
  <ds:schemaRefs>
    <ds:schemaRef ds:uri="http://schemas.microsoft.com/sharepoint/v3/contenttype/forms"/>
  </ds:schemaRefs>
</ds:datastoreItem>
</file>

<file path=customXml/itemProps2.xml><?xml version="1.0" encoding="utf-8"?>
<ds:datastoreItem xmlns:ds="http://schemas.openxmlformats.org/officeDocument/2006/customXml" ds:itemID="{5C084081-3853-4035-9C20-10A588F85B4F}">
  <ds:schemaRefs>
    <ds:schemaRef ds:uri="http://schemas.microsoft.com/office/2006/documentManagement/types"/>
    <ds:schemaRef ds:uri="http://schemas.microsoft.com/office/infopath/2007/PartnerControls"/>
    <ds:schemaRef ds:uri="http://purl.org/dc/terms/"/>
    <ds:schemaRef ds:uri="http://purl.org/dc/elements/1.1/"/>
    <ds:schemaRef ds:uri="http://purl.org/dc/dcmitype/"/>
    <ds:schemaRef ds:uri="http://schemas.openxmlformats.org/package/2006/metadata/core-properties"/>
    <ds:schemaRef ds:uri="b1608588-fee5-4a95-ad78-e2726597f23a"/>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3D5DB12B-62D0-41D6-B7E8-EEDF27B6F49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608588-fee5-4a95-ad78-e2726597f2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README</vt:lpstr>
      <vt:lpstr>Main</vt:lpstr>
      <vt:lpstr>BLACKBOX</vt:lpstr>
      <vt:lpstr>Pop FCST</vt:lpstr>
      <vt:lpstr>DD Pot_Water</vt:lpstr>
      <vt:lpstr>DD Water_Total</vt:lpstr>
      <vt:lpstr>SS Water_CM</vt:lpstr>
      <vt:lpstr>SS NEWater</vt:lpstr>
      <vt:lpstr>SS Desalin_Water</vt:lpstr>
      <vt:lpstr>SS Imported_Water</vt:lpstr>
      <vt:lpstr>Sensitivity_Conserve</vt:lpstr>
      <vt:lpstr>Sensitvity_Rainfall</vt:lpstr>
      <vt:lpstr>Tradeoff_Price</vt:lpstr>
      <vt:lpstr>LIST-Conserv_Eff</vt:lpstr>
      <vt:lpstr>LIST-Px&amp;DD</vt:lpstr>
      <vt:lpstr>LIST-Reserve</vt:lpstr>
      <vt:lpstr>LIST-WA End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PEACE .</dc:creator>
  <cp:keywords/>
  <dc:description/>
  <cp:lastModifiedBy>Shuyan Lin</cp:lastModifiedBy>
  <cp:revision/>
  <dcterms:created xsi:type="dcterms:W3CDTF">2022-05-23T14:40:16Z</dcterms:created>
  <dcterms:modified xsi:type="dcterms:W3CDTF">2022-06-19T05:17:26Z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0x0101004CBB80AC1947EA43B468AA8EA8E63724</vt:lpwstr>
  </property>
</Properties>
</file>